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Vincent.Reyes\Desktop\"/>
    </mc:Choice>
  </mc:AlternateContent>
  <xr:revisionPtr revIDLastSave="0" documentId="13_ncr:1_{E54DA25B-A827-41C7-9705-4C31EF72D4F6}" xr6:coauthVersionLast="47" xr6:coauthVersionMax="47" xr10:uidLastSave="{00000000-0000-0000-0000-000000000000}"/>
  <bookViews>
    <workbookView xWindow="28680" yWindow="-120" windowWidth="29040" windowHeight="15720" xr2:uid="{81680EB3-0DD0-4A50-B488-625D73333B38}"/>
  </bookViews>
  <sheets>
    <sheet name="CASE INPUTS" sheetId="13" r:id="rId1"/>
    <sheet name="DATA" sheetId="7" r:id="rId2"/>
    <sheet name="3.PropInt (LOAD)" sheetId="1" r:id="rId3"/>
    <sheet name="4.ProjOccupancy (LOAD)" sheetId="2" r:id="rId4"/>
    <sheet name="5.Projection_Annual (LOAD)" sheetId="3" r:id="rId5"/>
    <sheet name="6.TXFINANCIAL&amp;INFLATOR (LOAD) " sheetId="18" r:id="rId6"/>
    <sheet name="7.Rents (LOAD)" sheetId="4" r:id="rId7"/>
    <sheet name="8.Event Dates (LOAD)" sheetId="8" r:id="rId8"/>
    <sheet name="9.Investor (LOAD)" sheetId="19" r:id="rId9"/>
    <sheet name="10-Property(Checker)" sheetId="12" r:id="rId10"/>
    <sheet name="11.Property(UPDATE)" sheetId="16" r:id="rId11"/>
    <sheet name="12.TXPROP (LOAD)" sheetId="15" r:id="rId12"/>
    <sheet name="13.EquityInstallments (LOAD)" sheetId="23" r:id="rId13"/>
    <sheet name="14.Commitment (LOAD)" sheetId="5" r:id="rId14"/>
    <sheet name="15. Payment (LOAD)" sheetId="24" r:id="rId15"/>
    <sheet name="16.Projection (LOAD)" sheetId="6" r:id="rId16"/>
    <sheet name="17.PartnerAgree (UPDATE)" sheetId="11" r:id="rId17"/>
    <sheet name="18.Loan (LOAD)" sheetId="10" r:id="rId18"/>
    <sheet name="19.Collection Rules (LOAD)" sheetId="17" r:id="rId19"/>
    <sheet name="20.Notification_Rule (LOAD)" sheetId="21" r:id="rId20"/>
    <sheet name="VERIFICATION STEPS" sheetId="25" r:id="rId21"/>
    <sheet name="REFERENCE TAB" sheetId="22" r:id="rId2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1" i="13" l="1"/>
  <c r="D3" i="3"/>
  <c r="D4" i="3"/>
  <c r="D5" i="3"/>
  <c r="D6" i="3"/>
  <c r="D7" i="3"/>
  <c r="D8" i="3"/>
  <c r="D9" i="3"/>
  <c r="D10" i="3"/>
  <c r="D11" i="3"/>
  <c r="D12" i="3"/>
  <c r="D13" i="3"/>
  <c r="D14" i="3"/>
  <c r="D15" i="3"/>
  <c r="D16" i="3"/>
  <c r="D17" i="3"/>
  <c r="D18" i="3"/>
  <c r="D19" i="3"/>
  <c r="D20" i="3"/>
  <c r="G3" i="3"/>
  <c r="G4" i="3"/>
  <c r="G5" i="3"/>
  <c r="G6" i="3"/>
  <c r="G7" i="3"/>
  <c r="G8" i="3"/>
  <c r="G9" i="3"/>
  <c r="G10" i="3"/>
  <c r="G11" i="3"/>
  <c r="G12" i="3"/>
  <c r="G13" i="3"/>
  <c r="G14" i="3"/>
  <c r="G15" i="3"/>
  <c r="G16" i="3"/>
  <c r="G17" i="3"/>
  <c r="G18" i="3"/>
  <c r="G19" i="3"/>
  <c r="G20" i="3"/>
  <c r="F3" i="3"/>
  <c r="F4" i="3"/>
  <c r="F5" i="3"/>
  <c r="F6" i="3"/>
  <c r="F7" i="3"/>
  <c r="F8" i="3"/>
  <c r="F9" i="3"/>
  <c r="F10" i="3"/>
  <c r="F11" i="3"/>
  <c r="F12" i="3"/>
  <c r="F13" i="3"/>
  <c r="F14" i="3"/>
  <c r="F15" i="3"/>
  <c r="F16" i="3"/>
  <c r="F17" i="3"/>
  <c r="F18" i="3"/>
  <c r="F19" i="3"/>
  <c r="F20" i="3"/>
  <c r="E3" i="3"/>
  <c r="E4" i="3"/>
  <c r="E5" i="3"/>
  <c r="E6" i="3"/>
  <c r="E7" i="3"/>
  <c r="E8" i="3"/>
  <c r="E9" i="3"/>
  <c r="E10" i="3"/>
  <c r="E11" i="3"/>
  <c r="E12" i="3"/>
  <c r="E13" i="3"/>
  <c r="E14" i="3"/>
  <c r="E15" i="3"/>
  <c r="E16" i="3"/>
  <c r="E17" i="3"/>
  <c r="E18" i="3"/>
  <c r="E19" i="3"/>
  <c r="E20" i="3"/>
  <c r="E9" i="4"/>
  <c r="E2" i="12" l="1"/>
  <c r="K5" i="15"/>
  <c r="J5" i="15"/>
  <c r="I5" i="15"/>
  <c r="A5" i="15" l="1"/>
  <c r="A7" i="16"/>
  <c r="B8" i="10"/>
  <c r="Q1" i="6" l="1"/>
  <c r="O1" i="6"/>
  <c r="O5" i="6" s="1"/>
  <c r="Y1" i="6"/>
  <c r="Y5" i="6" s="1"/>
  <c r="A6" i="8"/>
  <c r="A7" i="8"/>
  <c r="A8" i="8"/>
  <c r="A9" i="8"/>
  <c r="A10" i="8"/>
  <c r="E4" i="19"/>
  <c r="E6" i="19" s="1"/>
  <c r="C4" i="5"/>
  <c r="A12" i="24"/>
  <c r="Q3" i="12"/>
  <c r="P3" i="12"/>
  <c r="P2" i="12" s="1"/>
  <c r="O3" i="12"/>
  <c r="O2" i="12" s="1"/>
  <c r="N3" i="12"/>
  <c r="N2" i="12" s="1"/>
  <c r="C9" i="23"/>
  <c r="C8" i="23"/>
  <c r="A9" i="23"/>
  <c r="A8" i="23"/>
  <c r="N5" i="6" l="1"/>
  <c r="P5" i="6"/>
  <c r="Q5" i="6"/>
  <c r="G2" i="3"/>
  <c r="E5" i="15"/>
  <c r="H2" i="12"/>
  <c r="C7" i="1"/>
  <c r="C8" i="1"/>
  <c r="C9" i="1"/>
  <c r="C6" i="1"/>
  <c r="C5" i="1"/>
  <c r="F5" i="8" l="1"/>
  <c r="F6" i="8"/>
  <c r="F7" i="8"/>
  <c r="F8" i="8"/>
  <c r="F9" i="8"/>
  <c r="F10" i="8"/>
  <c r="B9" i="4" l="1"/>
  <c r="D9" i="4"/>
  <c r="F9" i="4"/>
  <c r="G9" i="4"/>
  <c r="H9" i="4"/>
  <c r="I9" i="4"/>
  <c r="J9" i="4"/>
  <c r="K9" i="4"/>
  <c r="L9" i="4"/>
  <c r="I28" i="5"/>
  <c r="I7" i="5"/>
  <c r="C9" i="4" l="1" a="1"/>
  <c r="C9" i="4" s="1"/>
  <c r="B3" i="3"/>
  <c r="B4" i="3"/>
  <c r="B5" i="3"/>
  <c r="B6" i="3"/>
  <c r="B7" i="3"/>
  <c r="B8" i="3"/>
  <c r="B9" i="3"/>
  <c r="B10" i="3"/>
  <c r="B11" i="3"/>
  <c r="B12" i="3"/>
  <c r="B13" i="3"/>
  <c r="B14" i="3"/>
  <c r="B15" i="3"/>
  <c r="B16" i="3"/>
  <c r="B17" i="3"/>
  <c r="B18" i="3"/>
  <c r="B19" i="3"/>
  <c r="B20" i="3"/>
  <c r="B5" i="6"/>
  <c r="C6" i="19"/>
  <c r="E5" i="8"/>
  <c r="J5" i="6"/>
  <c r="W5" i="6"/>
  <c r="E7" i="5"/>
  <c r="A7" i="5" l="1"/>
  <c r="C7" i="5"/>
  <c r="H7" i="5" s="1"/>
  <c r="F7" i="5"/>
  <c r="A28" i="5"/>
  <c r="C28" i="5"/>
  <c r="H28" i="5" s="1"/>
  <c r="E28" i="5"/>
  <c r="F28" i="5"/>
  <c r="D6" i="17"/>
  <c r="D7" i="17"/>
  <c r="D5" i="17"/>
  <c r="G5" i="17" s="1"/>
  <c r="H5" i="17" s="1"/>
  <c r="A6" i="17"/>
  <c r="A7" i="17"/>
  <c r="A5" i="17"/>
  <c r="A6" i="11"/>
  <c r="A8" i="10"/>
  <c r="A5" i="6"/>
  <c r="A6" i="19"/>
  <c r="A5" i="8"/>
  <c r="A9" i="4"/>
  <c r="A3" i="3"/>
  <c r="A4" i="3"/>
  <c r="A5" i="3"/>
  <c r="A6" i="3"/>
  <c r="A7" i="3"/>
  <c r="A8" i="3"/>
  <c r="A9" i="3"/>
  <c r="A10" i="3"/>
  <c r="A11" i="3"/>
  <c r="A12" i="3"/>
  <c r="A13" i="3"/>
  <c r="A14" i="3"/>
  <c r="A15" i="3"/>
  <c r="A16" i="3"/>
  <c r="A17" i="3"/>
  <c r="A18" i="3"/>
  <c r="A19" i="3"/>
  <c r="A20" i="3"/>
  <c r="B2" i="3"/>
  <c r="A2" i="3"/>
  <c r="A2" i="2"/>
  <c r="A6" i="1"/>
  <c r="A7" i="1"/>
  <c r="A8" i="1"/>
  <c r="A9" i="1"/>
  <c r="A5" i="1"/>
  <c r="R5" i="6"/>
  <c r="H7" i="17"/>
  <c r="H6" i="17"/>
  <c r="L5" i="15"/>
  <c r="H5" i="15"/>
  <c r="G5" i="15"/>
  <c r="F5" i="15"/>
  <c r="D2" i="12"/>
  <c r="D5" i="15"/>
  <c r="C5" i="15"/>
  <c r="B5" i="15"/>
  <c r="C7" i="16"/>
  <c r="L2" i="12"/>
  <c r="B7" i="16"/>
  <c r="K2" i="12"/>
  <c r="E10" i="8"/>
  <c r="B6" i="11"/>
  <c r="D2" i="2"/>
  <c r="C2" i="2"/>
  <c r="B2" i="2"/>
  <c r="E9" i="8"/>
  <c r="E8" i="8"/>
  <c r="E7" i="8"/>
  <c r="E6" i="8"/>
  <c r="Q2" i="12"/>
  <c r="M2" i="12"/>
  <c r="J2" i="12"/>
  <c r="I2" i="12"/>
  <c r="G2" i="12"/>
  <c r="F2" i="12"/>
  <c r="C2" i="12"/>
  <c r="B2" i="12"/>
  <c r="A2" i="12"/>
  <c r="F2" i="3"/>
  <c r="E2" i="3"/>
  <c r="D2" i="3"/>
  <c r="F5" i="6"/>
  <c r="E5" i="6"/>
  <c r="D5" i="6"/>
  <c r="AB5" i="6"/>
  <c r="H5" i="6"/>
  <c r="X5" i="6"/>
  <c r="AA5" i="6"/>
  <c r="Z5" i="6"/>
  <c r="V5" i="6"/>
  <c r="U5" i="6"/>
  <c r="T5" i="6"/>
  <c r="S5" i="6"/>
  <c r="M5" i="6"/>
  <c r="L5" i="6"/>
  <c r="K5" i="6"/>
  <c r="E2" i="2"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Vincent Reyes</author>
  </authors>
  <commentList>
    <comment ref="D13" authorId="0" shapeId="0" xr:uid="{6291135C-8B7D-4F4F-8F57-6FFEC5E3C4DD}">
      <text>
        <r>
          <rPr>
            <sz val="9"/>
            <color indexed="81"/>
            <rFont val="Tahoma"/>
            <family val="2"/>
          </rPr>
          <t xml:space="preserve">Lender can be located in the case details.
</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<sst xmlns="http://schemas.openxmlformats.org/spreadsheetml/2006/main" count="2363" uniqueCount="1183">
  <si>
    <t>vCode</t>
  </si>
  <si>
    <t>Total Units</t>
  </si>
  <si>
    <t>LIHTC Units</t>
  </si>
  <si>
    <t>Manager Units</t>
  </si>
  <si>
    <t>Total Buildings</t>
  </si>
  <si>
    <t>Market Units</t>
  </si>
  <si>
    <t>dtPeriod</t>
  </si>
  <si>
    <t>iOccLIHTCUnits</t>
  </si>
  <si>
    <t>iOccMarketUnits</t>
  </si>
  <si>
    <t>iOccUnits</t>
  </si>
  <si>
    <t>dtProjections</t>
  </si>
  <si>
    <t>vVersion</t>
  </si>
  <si>
    <t>iYear</t>
  </si>
  <si>
    <t>mInvestorTaxInc</t>
  </si>
  <si>
    <t>mStateCredit</t>
  </si>
  <si>
    <t>mFedCredit</t>
  </si>
  <si>
    <t>Closed</t>
  </si>
  <si>
    <t>vType</t>
  </si>
  <si>
    <t>fAffordability</t>
  </si>
  <si>
    <t>fBedrooms</t>
  </si>
  <si>
    <t>fBathrooms</t>
  </si>
  <si>
    <t>iNumberUnits</t>
  </si>
  <si>
    <t>mRent</t>
  </si>
  <si>
    <t>dtRentDate</t>
  </si>
  <si>
    <t>mMaxRent</t>
  </si>
  <si>
    <t>mMaxUtilAllow</t>
  </si>
  <si>
    <t>iSquareFootage</t>
  </si>
  <si>
    <t>vnotes</t>
  </si>
  <si>
    <t>Mkt-1BR</t>
  </si>
  <si>
    <t>Mkt-2BR</t>
  </si>
  <si>
    <t>LI-1BR</t>
  </si>
  <si>
    <t>LI-2BR</t>
  </si>
  <si>
    <t>LI-3BR</t>
  </si>
  <si>
    <t>LI-4BR</t>
  </si>
  <si>
    <t>LI-5BR</t>
  </si>
  <si>
    <t>ALWAYS rbcinven</t>
  </si>
  <si>
    <t>SAME WITH COMMITMENT DATE</t>
  </si>
  <si>
    <t>vOwnerCode</t>
  </si>
  <si>
    <t>dtCommitment</t>
  </si>
  <si>
    <t>vInstallNmbr</t>
  </si>
  <si>
    <t>mAmount</t>
  </si>
  <si>
    <t>vConditions</t>
  </si>
  <si>
    <t>dtDue</t>
  </si>
  <si>
    <t>iEquityInstallID</t>
  </si>
  <si>
    <t>rbcinven</t>
  </si>
  <si>
    <t>Net Equity</t>
  </si>
  <si>
    <t>iProjUnits</t>
  </si>
  <si>
    <t>iProjBldgs</t>
  </si>
  <si>
    <t>fDeprecLifeBldgs</t>
  </si>
  <si>
    <t>vDeprecMethodBldgs</t>
  </si>
  <si>
    <t>fDeprecLifePersProp</t>
  </si>
  <si>
    <t>vDeprecMethodPersProp</t>
  </si>
  <si>
    <t>mFedCredPrice</t>
  </si>
  <si>
    <t>mAnnualResRep</t>
  </si>
  <si>
    <t>mPercentIncResRep</t>
  </si>
  <si>
    <t>mDevCosts</t>
  </si>
  <si>
    <t>mEligibleBasis4</t>
  </si>
  <si>
    <t>fCreditRate4</t>
  </si>
  <si>
    <t>mEstEligibleBasisLIHTC</t>
  </si>
  <si>
    <t>mEstExpectedFedLIHTC</t>
  </si>
  <si>
    <t>mDeferredDevFee</t>
  </si>
  <si>
    <t>mAnnCredit</t>
  </si>
  <si>
    <t>mEstEquity</t>
  </si>
  <si>
    <t>fStaticDSC</t>
  </si>
  <si>
    <t>fLIHTCVacancy</t>
  </si>
  <si>
    <t>mOpExpUnit</t>
  </si>
  <si>
    <t>mOpRes</t>
  </si>
  <si>
    <t>mRRRes</t>
  </si>
  <si>
    <t>General Information and Financing Assumptions</t>
  </si>
  <si>
    <t/>
  </si>
  <si>
    <t>VERSION 3.0  6/9/2015</t>
  </si>
  <si>
    <t>Printed:</t>
  </si>
  <si>
    <t>Page 1</t>
  </si>
  <si>
    <t>Property Information</t>
  </si>
  <si>
    <t>Project Dates</t>
  </si>
  <si>
    <t xml:space="preserve"> Base year DSCR</t>
  </si>
  <si>
    <t>Project Name</t>
  </si>
  <si>
    <t>Model Start Date</t>
  </si>
  <si>
    <t>Income net of Vacancy</t>
  </si>
  <si>
    <t>Tax Exempt Bond Proceeds</t>
  </si>
  <si>
    <t>City</t>
  </si>
  <si>
    <t>LT Partnership Close</t>
  </si>
  <si>
    <t>Other Income Adjustments</t>
  </si>
  <si>
    <t>Less: Non-Eligible Uses Funded by Bonds</t>
  </si>
  <si>
    <t>County</t>
  </si>
  <si>
    <t>Construction Start Date</t>
  </si>
  <si>
    <t>Operating Expenses</t>
  </si>
  <si>
    <t>State</t>
  </si>
  <si>
    <t>Construction Term (months)</t>
  </si>
  <si>
    <t>Real Estate Tax Abatement</t>
  </si>
  <si>
    <t>Other Adjustments</t>
  </si>
  <si>
    <t>Number of Total Units</t>
  </si>
  <si>
    <t>Number of Rehabilitated Units</t>
  </si>
  <si>
    <t>Construction Completion Date - Final Bldg.</t>
  </si>
  <si>
    <t>Management Fee</t>
  </si>
  <si>
    <t>Total Bond Proceeds</t>
  </si>
  <si>
    <t>Number of Qualified Units</t>
  </si>
  <si>
    <t>Number of Non-Qualified Units</t>
  </si>
  <si>
    <t>Construction Completion Date - First Bldg.</t>
  </si>
  <si>
    <t>Other  Expense Adjustments</t>
  </si>
  <si>
    <t>Qualified Managers Unit</t>
  </si>
  <si>
    <t>Number of Market Unit</t>
  </si>
  <si>
    <t>Operations Start Date</t>
  </si>
  <si>
    <t>Replacement Reserves</t>
  </si>
  <si>
    <t>Aggregate Basis and Land</t>
  </si>
  <si>
    <t>Number of Buildings - LIHTC</t>
  </si>
  <si>
    <t>Bldgs - Other</t>
  </si>
  <si>
    <t>Months in First year of Operations</t>
  </si>
  <si>
    <t>Base year NOI</t>
  </si>
  <si>
    <t>Commercial Space - square footage</t>
  </si>
  <si>
    <t>First Tax Credit Month</t>
  </si>
  <si>
    <t>Base year debt Service</t>
  </si>
  <si>
    <t>Total Aggregate Basis and Land</t>
  </si>
  <si>
    <t>New Construction/Rehabilitation</t>
  </si>
  <si>
    <t>Scattered Site</t>
  </si>
  <si>
    <t>Lease up Starts</t>
  </si>
  <si>
    <t>Base year DCR</t>
  </si>
  <si>
    <t>Property Type</t>
  </si>
  <si>
    <t>Yes</t>
  </si>
  <si>
    <t>Lease up Period (months)</t>
  </si>
  <si>
    <t>Income to Exp + Hard Debt Ratio</t>
  </si>
  <si>
    <t>Market Type</t>
  </si>
  <si>
    <t>Special Needs</t>
  </si>
  <si>
    <t>Leases per Month - Absorption:</t>
  </si>
  <si>
    <t>Construction</t>
  </si>
  <si>
    <t>Permanent</t>
  </si>
  <si>
    <t xml:space="preserve">Targeted Tenants  </t>
  </si>
  <si>
    <t>No</t>
  </si>
  <si>
    <t>100% Qualified Occupancy</t>
  </si>
  <si>
    <t>Taxable</t>
  </si>
  <si>
    <t>Developer</t>
  </si>
  <si>
    <t>Depreciation Start Date</t>
  </si>
  <si>
    <t>Fixed</t>
  </si>
  <si>
    <t>LEED Certification</t>
  </si>
  <si>
    <t>Permanent Loan Closing Date</t>
  </si>
  <si>
    <t>Rate Index</t>
  </si>
  <si>
    <t>Current Base Rate</t>
  </si>
  <si>
    <t>OPERATING ENTITY STRUCTURE</t>
  </si>
  <si>
    <t>Projected Rate Change</t>
  </si>
  <si>
    <t>Operating Partnership / LLC</t>
  </si>
  <si>
    <t>Sharing Percentages</t>
  </si>
  <si>
    <t>Projected Base Rate</t>
  </si>
  <si>
    <t>GP / Managing Members:</t>
  </si>
  <si>
    <t>Tax Exempt</t>
  </si>
  <si>
    <t>Income/(Loss)</t>
  </si>
  <si>
    <t>LIHTC - Fed</t>
  </si>
  <si>
    <t>Other Credits</t>
  </si>
  <si>
    <t>LIHTC - State</t>
  </si>
  <si>
    <t>Historic - State</t>
  </si>
  <si>
    <t>Cash Flow</t>
  </si>
  <si>
    <t>Residual</t>
  </si>
  <si>
    <t>Spread</t>
  </si>
  <si>
    <t xml:space="preserve">     Managing GP</t>
  </si>
  <si>
    <t>Liquidity Fee</t>
  </si>
  <si>
    <t xml:space="preserve">     Other GP</t>
  </si>
  <si>
    <t>Bond Issuer Fee</t>
  </si>
  <si>
    <t>LP / Investing Members:</t>
  </si>
  <si>
    <t>Remarketing Fee</t>
  </si>
  <si>
    <t xml:space="preserve">     RBC - </t>
  </si>
  <si>
    <t>Trustee Fee</t>
  </si>
  <si>
    <t xml:space="preserve">     Special LP</t>
  </si>
  <si>
    <t>RBC Community Investments Manager II, Inc.</t>
  </si>
  <si>
    <t>Interest Rate Cap Escrow Fee</t>
  </si>
  <si>
    <t>LOC Fee</t>
  </si>
  <si>
    <t xml:space="preserve">     Other LP</t>
  </si>
  <si>
    <t>Servicing Fee</t>
  </si>
  <si>
    <t>Total Annual Ongoing Fees</t>
  </si>
  <si>
    <t>Projected Note Rate</t>
  </si>
  <si>
    <t>Construction Financing Assumptions</t>
  </si>
  <si>
    <t>Summary of Tax Credit Equity</t>
  </si>
  <si>
    <t>Interest Rate</t>
  </si>
  <si>
    <t>Loan Term</t>
  </si>
  <si>
    <t>Tax Credits to</t>
  </si>
  <si>
    <t>Capital</t>
  </si>
  <si>
    <t>Underwriting Adjustment</t>
  </si>
  <si>
    <t>Financing Vehicle</t>
  </si>
  <si>
    <t>Total</t>
  </si>
  <si>
    <t>Calculation</t>
  </si>
  <si>
    <t xml:space="preserve"> (Months)</t>
  </si>
  <si>
    <t>fund</t>
  </si>
  <si>
    <t>$/Credit</t>
  </si>
  <si>
    <t>Contribution</t>
  </si>
  <si>
    <t>Underwriting Interest Rate</t>
  </si>
  <si>
    <t xml:space="preserve"> </t>
  </si>
  <si>
    <t>Low Income Housing Tax Credits</t>
  </si>
  <si>
    <t>Historic Tax Credits</t>
  </si>
  <si>
    <t>Interest Rate Floor</t>
  </si>
  <si>
    <t>Low Income Housing Tax Credits - State</t>
  </si>
  <si>
    <t>Interest Rate CAP</t>
  </si>
  <si>
    <t>RBC Loan</t>
  </si>
  <si>
    <t>Historic Tax Credits - State</t>
  </si>
  <si>
    <t xml:space="preserve">Total Lower Tier Equity </t>
  </si>
  <si>
    <t>Permanent Financing / Cash Flow Assumptions</t>
  </si>
  <si>
    <t>This information is used to allocated payments for loans with both Hard and Soft debt service</t>
  </si>
  <si>
    <t>Type</t>
  </si>
  <si>
    <t>Lien Priority</t>
  </si>
  <si>
    <t>Amortization (Months)</t>
  </si>
  <si>
    <t>Loan Term (Years)</t>
  </si>
  <si>
    <t>Calculation Type</t>
  </si>
  <si>
    <t>% of Cash Flow used for Payment</t>
  </si>
  <si>
    <t>Closing / Starting Date</t>
  </si>
  <si>
    <t>Payment Start Date</t>
  </si>
  <si>
    <t>Servicing Fee / MIP</t>
  </si>
  <si>
    <t>Percent of Cash Flow</t>
  </si>
  <si>
    <t>Percent of EGI</t>
  </si>
  <si>
    <t>Fixed Amount</t>
  </si>
  <si>
    <t>Inflation %</t>
  </si>
  <si>
    <t>Deductible</t>
  </si>
  <si>
    <t>Cumulative Balance</t>
  </si>
  <si>
    <t>Cash Basis Taxpayer</t>
  </si>
  <si>
    <t>Nonrecourse for 704b</t>
  </si>
  <si>
    <t>Deduction Start Date</t>
  </si>
  <si>
    <t>Permanent  Conversion Date</t>
  </si>
  <si>
    <t>Interest Rate Type</t>
  </si>
  <si>
    <t>Payments per year</t>
  </si>
  <si>
    <t>Max Loan based on above DCR</t>
  </si>
  <si>
    <t>Annual Debt Service</t>
  </si>
  <si>
    <t>Override Annual Debt Service</t>
  </si>
  <si>
    <t>Check</t>
  </si>
  <si>
    <t>Total Hard Debt</t>
  </si>
  <si>
    <t>DSCR Allocation Check</t>
  </si>
  <si>
    <t>Loan #</t>
  </si>
  <si>
    <t>Payment applied</t>
  </si>
  <si>
    <t>Payment applied from</t>
  </si>
  <si>
    <t>Base Year MIP</t>
  </si>
  <si>
    <t>Loan</t>
  </si>
  <si>
    <t>Hard-Amort</t>
  </si>
  <si>
    <t>Compound</t>
  </si>
  <si>
    <t>$</t>
  </si>
  <si>
    <t>Cash Flow prior to Final Closing</t>
  </si>
  <si>
    <t>Other</t>
  </si>
  <si>
    <t>Soft-Other</t>
  </si>
  <si>
    <t>Soft-Accd Const</t>
  </si>
  <si>
    <t>Replenish Operating Reserve</t>
  </si>
  <si>
    <t>Reserve</t>
  </si>
  <si>
    <t>Deferred Developers Fee</t>
  </si>
  <si>
    <t>DDF</t>
  </si>
  <si>
    <t>Soft-% CF</t>
  </si>
  <si>
    <t>Prime Interest Rate</t>
  </si>
  <si>
    <t xml:space="preserve">Applicable Federal Rate </t>
  </si>
  <si>
    <t>LIHTC required placed in service date</t>
  </si>
  <si>
    <t>Housing Authority Deal</t>
  </si>
  <si>
    <t>Price per credit:</t>
  </si>
  <si>
    <t>(Federal LIHTC only)</t>
  </si>
  <si>
    <t>Developer Fee - Deferred</t>
  </si>
  <si>
    <t>IRR</t>
  </si>
  <si>
    <t>Effective (Quarterly)</t>
  </si>
  <si>
    <t>XIRR</t>
  </si>
  <si>
    <t xml:space="preserve">   Operating</t>
  </si>
  <si>
    <t>DSCR (base year)</t>
  </si>
  <si>
    <t>Capital Contributions</t>
  </si>
  <si>
    <t>Monthly Construction Draws</t>
  </si>
  <si>
    <t>Various</t>
  </si>
  <si>
    <t>Developer Fee Payments</t>
  </si>
  <si>
    <t>Gross Developer Fee</t>
  </si>
  <si>
    <t>Deferred Developer Fee</t>
  </si>
  <si>
    <t>Cash Paid Developer fee</t>
  </si>
  <si>
    <t>% - Paid Fee</t>
  </si>
  <si>
    <t>% - Total Fee</t>
  </si>
  <si>
    <t>Equity Funding and Lease up Assumptions</t>
  </si>
  <si>
    <t>FOR INTERNAL USE ONLY</t>
  </si>
  <si>
    <t>Page B</t>
  </si>
  <si>
    <t>Lease up Schedule, excluding manager unit</t>
  </si>
  <si>
    <t>Event</t>
  </si>
  <si>
    <t>Projected Date</t>
  </si>
  <si>
    <t>% of Equity</t>
  </si>
  <si>
    <t>Equity</t>
  </si>
  <si>
    <t>LIHTC</t>
  </si>
  <si>
    <t>Non-Qualified</t>
  </si>
  <si>
    <t>MARKET</t>
  </si>
  <si>
    <t>Const / Rehab PIS</t>
  </si>
  <si>
    <t>Acquisition PIS</t>
  </si>
  <si>
    <t>Month</t>
  </si>
  <si>
    <t>Revenue Units</t>
  </si>
  <si>
    <t>Cum. %</t>
  </si>
  <si>
    <t>Credit Units</t>
  </si>
  <si>
    <t>Current</t>
  </si>
  <si>
    <t>Draw #</t>
  </si>
  <si>
    <t>Draw # 1</t>
  </si>
  <si>
    <t>Draw # 2</t>
  </si>
  <si>
    <t>Draw # 3</t>
  </si>
  <si>
    <t>Draw # 4</t>
  </si>
  <si>
    <t>Draw # 5</t>
  </si>
  <si>
    <t>Draw # 6</t>
  </si>
  <si>
    <t>Draw # 7</t>
  </si>
  <si>
    <t>Draw # 8</t>
  </si>
  <si>
    <t>Draw # 9</t>
  </si>
  <si>
    <t>Draw # 10</t>
  </si>
  <si>
    <t>Draw # 11</t>
  </si>
  <si>
    <t>Draw # 12</t>
  </si>
  <si>
    <t>Draw # 13</t>
  </si>
  <si>
    <t>Draw # 14</t>
  </si>
  <si>
    <t>Draw # 15</t>
  </si>
  <si>
    <t>Draw # 16</t>
  </si>
  <si>
    <t>Draw # 17</t>
  </si>
  <si>
    <t>Draw # 18</t>
  </si>
  <si>
    <t>Draw # 19</t>
  </si>
  <si>
    <t>Draw # 20</t>
  </si>
  <si>
    <t>Draw # 21</t>
  </si>
  <si>
    <t>Draw # 22</t>
  </si>
  <si>
    <t>Draw # 23</t>
  </si>
  <si>
    <t>Draw # 24</t>
  </si>
  <si>
    <t>Equity Adjuster</t>
  </si>
  <si>
    <t>Late Delivery</t>
  </si>
  <si>
    <t>Other 1</t>
  </si>
  <si>
    <t>Other 2</t>
  </si>
  <si>
    <t>Totals</t>
  </si>
  <si>
    <t>Life</t>
  </si>
  <si>
    <t>Basis</t>
  </si>
  <si>
    <t>Depreciation of Replacement Reserves</t>
  </si>
  <si>
    <t>Total Depreciable Basis</t>
  </si>
  <si>
    <t>Residential Real Property</t>
  </si>
  <si>
    <t>Capitalized bal every 5 years</t>
  </si>
  <si>
    <t>Less: Historic Credits</t>
  </si>
  <si>
    <t xml:space="preserve">         Grants</t>
  </si>
  <si>
    <t>Year</t>
  </si>
  <si>
    <t>Amount</t>
  </si>
  <si>
    <t>Capitalized in</t>
  </si>
  <si>
    <t xml:space="preserve">         Other Credits adjustment</t>
  </si>
  <si>
    <t>Building Acquisition</t>
  </si>
  <si>
    <t>Site Work</t>
  </si>
  <si>
    <t>HY / MQ</t>
  </si>
  <si>
    <t>Personal Property</t>
  </si>
  <si>
    <t>Net Depreciable Basis</t>
  </si>
  <si>
    <t>Projected Net Operating Income</t>
  </si>
  <si>
    <t>Page 7</t>
  </si>
  <si>
    <t>Income</t>
  </si>
  <si>
    <t>Gross LIHTC Rental Revenues</t>
  </si>
  <si>
    <t>Gross Non-Qualified Rental Revenues</t>
  </si>
  <si>
    <t>Gross Market Rental Revenue</t>
  </si>
  <si>
    <t>Less: Vacancies</t>
  </si>
  <si>
    <t>Net Rental Revenues</t>
  </si>
  <si>
    <t>Rental Subsidy (Net)</t>
  </si>
  <si>
    <t>Other Income</t>
  </si>
  <si>
    <t>Commercial Income</t>
  </si>
  <si>
    <t>Effective Gross Income</t>
  </si>
  <si>
    <t>Controllable Operating Expenses</t>
  </si>
  <si>
    <t>Administrative</t>
  </si>
  <si>
    <t>Repairs and Maintenance</t>
  </si>
  <si>
    <t>Payroll</t>
  </si>
  <si>
    <t xml:space="preserve">   Controllable Expenses</t>
  </si>
  <si>
    <t>Non-Controllable Operating Expenses</t>
  </si>
  <si>
    <t>Insurance</t>
  </si>
  <si>
    <t>Utilities</t>
  </si>
  <si>
    <t>Water and Sewer</t>
  </si>
  <si>
    <t>Supportive Services</t>
  </si>
  <si>
    <t>Real Estate Taxes</t>
  </si>
  <si>
    <t>Abatement of Real Estate Taxes</t>
  </si>
  <si>
    <t xml:space="preserve">   Non-Controllable Expenses</t>
  </si>
  <si>
    <t>Override</t>
  </si>
  <si>
    <t>Subtotal Operating Expenses</t>
  </si>
  <si>
    <t>Commercial Expenses</t>
  </si>
  <si>
    <t>NOI Before Replacement Reserves</t>
  </si>
  <si>
    <t>Net Operating Income</t>
  </si>
  <si>
    <t>Market</t>
  </si>
  <si>
    <t>Controllable Expenses</t>
  </si>
  <si>
    <t>Convert LIHTC to AMI %</t>
  </si>
  <si>
    <t>Monthly</t>
  </si>
  <si>
    <t>Annual</t>
  </si>
  <si>
    <t xml:space="preserve">     Inflation</t>
  </si>
  <si>
    <t xml:space="preserve">     Administrative</t>
  </si>
  <si>
    <t xml:space="preserve">     First day of adjustment</t>
  </si>
  <si>
    <t>Garage \ Carport</t>
  </si>
  <si>
    <t xml:space="preserve">     Vacancy</t>
  </si>
  <si>
    <t xml:space="preserve">     Repairs and Maintenance</t>
  </si>
  <si>
    <t xml:space="preserve">     Last day of adjustment</t>
  </si>
  <si>
    <t>Parking</t>
  </si>
  <si>
    <t xml:space="preserve">     Payroll</t>
  </si>
  <si>
    <t>Storage</t>
  </si>
  <si>
    <t xml:space="preserve">     Other</t>
  </si>
  <si>
    <t>Laundry</t>
  </si>
  <si>
    <t>Convert all units to Market</t>
  </si>
  <si>
    <t>Washer \ Dryer Rental</t>
  </si>
  <si>
    <t>Non-Controllable Expenses:</t>
  </si>
  <si>
    <t>Fees \ Charges</t>
  </si>
  <si>
    <t>TDA</t>
  </si>
  <si>
    <t xml:space="preserve">     Insurance</t>
  </si>
  <si>
    <t>Subsidy</t>
  </si>
  <si>
    <t xml:space="preserve">     Utilities</t>
  </si>
  <si>
    <t xml:space="preserve">     Water and Sewer</t>
  </si>
  <si>
    <t>Per Unit</t>
  </si>
  <si>
    <t xml:space="preserve">     Analysis Yr</t>
  </si>
  <si>
    <t xml:space="preserve">     Supportive Services</t>
  </si>
  <si>
    <t xml:space="preserve">     Last Day</t>
  </si>
  <si>
    <t xml:space="preserve">     Model Yr</t>
  </si>
  <si>
    <t xml:space="preserve">     Maturity Yr</t>
  </si>
  <si>
    <t xml:space="preserve">     Real Estate Taxes</t>
  </si>
  <si>
    <t>Include revenue in calculation of Management Fee</t>
  </si>
  <si>
    <t>Inflation percentage fro commercial expenses</t>
  </si>
  <si>
    <t>Projected Cash Flow</t>
  </si>
  <si>
    <t>Page 8</t>
  </si>
  <si>
    <t>Plus Other Cash Sources:</t>
  </si>
  <si>
    <t>Interest on Reserve Accts.</t>
  </si>
  <si>
    <t xml:space="preserve">    Total Other Cash Sources</t>
  </si>
  <si>
    <t>Subtotal</t>
  </si>
  <si>
    <t>Less Other Cash Requirements:</t>
  </si>
  <si>
    <t>Construction Loan Interest</t>
  </si>
  <si>
    <t>1st</t>
  </si>
  <si>
    <t>Funded from Reserves</t>
  </si>
  <si>
    <t>Funded by Operating Deficit Guarantee</t>
  </si>
  <si>
    <t>Cash Flow available for Distribution</t>
  </si>
  <si>
    <t>LP Cash Distribution</t>
  </si>
  <si>
    <t>Cash Flow to Fund</t>
  </si>
  <si>
    <t>Cumulative Cash Flow to Fund</t>
  </si>
  <si>
    <t>Debt Service Coverage Ratio</t>
  </si>
  <si>
    <t>N/A</t>
  </si>
  <si>
    <t>Hard</t>
  </si>
  <si>
    <t>DSCR Deficit</t>
  </si>
  <si>
    <t>Cumulative Total</t>
  </si>
  <si>
    <t>Income to Exp + Hard Debt Deficit</t>
  </si>
  <si>
    <t>Debt Service</t>
  </si>
  <si>
    <t>NOI-Inc</t>
  </si>
  <si>
    <t>NOI-Exp</t>
  </si>
  <si>
    <t>Net Cash flow after hard debt payments</t>
  </si>
  <si>
    <t>Per unit</t>
  </si>
  <si>
    <t>Construction Loan Interest - Proforma</t>
  </si>
  <si>
    <t>Income to Expense Deficit</t>
  </si>
  <si>
    <t>Projected Taxable Income/(Loss)</t>
  </si>
  <si>
    <t>Page 9</t>
  </si>
  <si>
    <t>Other Taxable Income:</t>
  </si>
  <si>
    <t xml:space="preserve">    Total Other Income</t>
  </si>
  <si>
    <t>Other Deductible Expenses:</t>
  </si>
  <si>
    <t>Less Capitalized Interest</t>
  </si>
  <si>
    <t>Total Deductible Expenses</t>
  </si>
  <si>
    <t>Amortization Funded Expenses</t>
  </si>
  <si>
    <t xml:space="preserve">Depreciation </t>
  </si>
  <si>
    <t xml:space="preserve">    Total Other Expenses</t>
  </si>
  <si>
    <t>Taxable Income (Loss)</t>
  </si>
  <si>
    <t>Pre-Admission Income (Loss)</t>
  </si>
  <si>
    <t>Initial Income Loss to LP</t>
  </si>
  <si>
    <t>Reallocation of Losses to GP</t>
  </si>
  <si>
    <t>Taxable Income (Loss) to Fund</t>
  </si>
  <si>
    <t>Cumulative Taxable Income (Loss)</t>
  </si>
  <si>
    <t>Total Tax Credits</t>
  </si>
  <si>
    <t>LIHTC - Federal</t>
  </si>
  <si>
    <t>To the Fund</t>
  </si>
  <si>
    <t>Historic - Federal</t>
  </si>
  <si>
    <t>Total State Tax Credits</t>
  </si>
  <si>
    <t>Start Date</t>
  </si>
  <si>
    <t>Deduct</t>
  </si>
  <si>
    <t>Projected</t>
  </si>
  <si>
    <t>Federal Tax</t>
  </si>
  <si>
    <t>Stressed</t>
  </si>
  <si>
    <t>Tax</t>
  </si>
  <si>
    <t>Federal</t>
  </si>
  <si>
    <t>Historic</t>
  </si>
  <si>
    <t>Effect on</t>
  </si>
  <si>
    <t>Investing</t>
  </si>
  <si>
    <t>Return of</t>
  </si>
  <si>
    <t>Net</t>
  </si>
  <si>
    <t>Benefits</t>
  </si>
  <si>
    <t xml:space="preserve">Housing Tax </t>
  </si>
  <si>
    <t>Rehab</t>
  </si>
  <si>
    <t>State Credits</t>
  </si>
  <si>
    <t>Cash</t>
  </si>
  <si>
    <t>L.P.</t>
  </si>
  <si>
    <t>Contributed</t>
  </si>
  <si>
    <t>Cumulative</t>
  </si>
  <si>
    <t>Quarter</t>
  </si>
  <si>
    <t>Income (Loss)</t>
  </si>
  <si>
    <t>Credits</t>
  </si>
  <si>
    <t>Tax Credits</t>
  </si>
  <si>
    <t>Flow</t>
  </si>
  <si>
    <t>QTRS</t>
  </si>
  <si>
    <t>QTRLY BENEFITS</t>
  </si>
  <si>
    <t>Disposition</t>
  </si>
  <si>
    <t>Max</t>
  </si>
  <si>
    <t>L.P. Income (Loss) %</t>
  </si>
  <si>
    <t>Min</t>
  </si>
  <si>
    <t>L.P. Cash Flow %</t>
  </si>
  <si>
    <t>L.P. Tax Credit %</t>
  </si>
  <si>
    <t>Uses</t>
  </si>
  <si>
    <t>Eligible Basis</t>
  </si>
  <si>
    <t>Depr. Basis</t>
  </si>
  <si>
    <t>Funded Expenses</t>
  </si>
  <si>
    <t>Non Depreciable</t>
  </si>
  <si>
    <t>Developer Fee</t>
  </si>
  <si>
    <t>Operating Reserves</t>
  </si>
  <si>
    <t>Credit Calculation Schedule</t>
  </si>
  <si>
    <t>Page 3</t>
  </si>
  <si>
    <t>Allocation Yr:</t>
  </si>
  <si>
    <t>DDA/QCT</t>
  </si>
  <si>
    <t>Federal Credits</t>
  </si>
  <si>
    <t>Type of Deal:</t>
  </si>
  <si>
    <t>QCT #:</t>
  </si>
  <si>
    <t>LIHTC Reservation</t>
  </si>
  <si>
    <t>Reduction to Capital Account</t>
  </si>
  <si>
    <t>LIHTC BIN's</t>
  </si>
  <si>
    <t>LIHTC Projected</t>
  </si>
  <si>
    <t>Timing of Adjustment</t>
  </si>
  <si>
    <t>Year of Credit</t>
  </si>
  <si>
    <t>Non-Profit set-aside</t>
  </si>
  <si>
    <t>Lesser of Projected or Reservation</t>
  </si>
  <si>
    <t>Excess Basis/(Basis Shortfall)</t>
  </si>
  <si>
    <t>Rehabilitation</t>
  </si>
  <si>
    <t>Acquisition</t>
  </si>
  <si>
    <t>Other Tax Credits</t>
  </si>
  <si>
    <t>Tax Credit Rate %</t>
  </si>
  <si>
    <t>SF Percentage</t>
  </si>
  <si>
    <t>Calculated</t>
  </si>
  <si>
    <t>Date of Rate Used</t>
  </si>
  <si>
    <t>Floor</t>
  </si>
  <si>
    <t>Unit Percentage</t>
  </si>
  <si>
    <t>Rate Locked</t>
  </si>
  <si>
    <t>Lesser of Unit/SF</t>
  </si>
  <si>
    <t>Low Income Housing Tax Credit Calculation</t>
  </si>
  <si>
    <t>Historic Tax Credit Calculation</t>
  </si>
  <si>
    <t>State LIHTC</t>
  </si>
  <si>
    <t>Federal Historic Rehab Credit</t>
  </si>
  <si>
    <t>Item</t>
  </si>
  <si>
    <t>Residential</t>
  </si>
  <si>
    <t>Commercial</t>
  </si>
  <si>
    <t>Adjustments</t>
  </si>
  <si>
    <t>Depreciable Basis</t>
  </si>
  <si>
    <t>Less:</t>
  </si>
  <si>
    <t>Total Basis</t>
  </si>
  <si>
    <t>Acquisition Cost</t>
  </si>
  <si>
    <t xml:space="preserve">     Acquisition Cost</t>
  </si>
  <si>
    <t>Credit Percentage</t>
  </si>
  <si>
    <t>Residential Historic Tax Credits</t>
  </si>
  <si>
    <t xml:space="preserve">     Personal Property</t>
  </si>
  <si>
    <t>Grants</t>
  </si>
  <si>
    <t xml:space="preserve">     Sitework</t>
  </si>
  <si>
    <t>Other Credit's adjustment</t>
  </si>
  <si>
    <t xml:space="preserve">     Bldg Additions/(Demo)</t>
  </si>
  <si>
    <t>State Historic</t>
  </si>
  <si>
    <t xml:space="preserve">     Ineligible Interest</t>
  </si>
  <si>
    <t xml:space="preserve">     Other Ineligible Costs</t>
  </si>
  <si>
    <t xml:space="preserve">     Grants</t>
  </si>
  <si>
    <t>Historic Tax Credit Basis</t>
  </si>
  <si>
    <t>DDA/QCT Adjustment</t>
  </si>
  <si>
    <t xml:space="preserve">     Historic Tax Credit %</t>
  </si>
  <si>
    <t>Basis Limitation</t>
  </si>
  <si>
    <t>Total Eligible Basis</t>
  </si>
  <si>
    <t>Total Historic Tax Credit</t>
  </si>
  <si>
    <t>Low Income Percentage</t>
  </si>
  <si>
    <t>State Certs (LIHTC &amp; HTC)</t>
  </si>
  <si>
    <t>Qualified LIHTC Basis</t>
  </si>
  <si>
    <t>Tax Credit Delivery</t>
  </si>
  <si>
    <t>Solar Credits</t>
  </si>
  <si>
    <t>Tax Credit Percentage</t>
  </si>
  <si>
    <t>45L</t>
  </si>
  <si>
    <t>LIHTC Calculated</t>
  </si>
  <si>
    <t>Brownfield Credit - FED &amp; State</t>
  </si>
  <si>
    <t>Allowable LIHTC</t>
  </si>
  <si>
    <t>Rental Income</t>
  </si>
  <si>
    <t>Page 5</t>
  </si>
  <si>
    <t>Base year:</t>
  </si>
  <si>
    <t>PER UNIT</t>
  </si>
  <si>
    <t>Unit Information</t>
  </si>
  <si>
    <t>Average Sq.</t>
  </si>
  <si>
    <t>Annual Rental</t>
  </si>
  <si>
    <t>Tenant Paid</t>
  </si>
  <si>
    <t>Utility</t>
  </si>
  <si>
    <t>Max LIHTC</t>
  </si>
  <si>
    <t>% Discount</t>
  </si>
  <si>
    <t>Bedrms</t>
  </si>
  <si>
    <t>Baths</t>
  </si>
  <si>
    <t>Restrictions</t>
  </si>
  <si>
    <t>% of AMI</t>
  </si>
  <si>
    <t>Ft. per Unit</t>
  </si>
  <si>
    <t># of Units</t>
  </si>
  <si>
    <t>Net Rent</t>
  </si>
  <si>
    <t>Vacancy Rate</t>
  </si>
  <si>
    <t>Allowance</t>
  </si>
  <si>
    <t>NET Rent</t>
  </si>
  <si>
    <t>to Max TC</t>
  </si>
  <si>
    <t>to Market</t>
  </si>
  <si>
    <t>LIHTC (without Subsidy)</t>
  </si>
  <si>
    <t>INTERNAL ONLY</t>
  </si>
  <si>
    <t>60% AMI</t>
  </si>
  <si>
    <t>Tenant paid only</t>
  </si>
  <si>
    <t>Manager</t>
  </si>
  <si>
    <t>Non-Qualified (without Subsidy)</t>
  </si>
  <si>
    <t>CHECK</t>
  </si>
  <si>
    <t>Non-Q &amp; Manager</t>
  </si>
  <si>
    <t>LIHTC (without Subsidy) &amp; Non-Q (without Subsidy)</t>
  </si>
  <si>
    <t>Other and Commercial Income</t>
  </si>
  <si>
    <t>Page 5a</t>
  </si>
  <si>
    <t>Type of Income</t>
  </si>
  <si>
    <t>Category</t>
  </si>
  <si>
    <t>Rent per Unit</t>
  </si>
  <si>
    <t>Gross</t>
  </si>
  <si>
    <t>% Utilized</t>
  </si>
  <si>
    <t>Landlord</t>
  </si>
  <si>
    <t>Rentable</t>
  </si>
  <si>
    <t>Start</t>
  </si>
  <si>
    <t>Rent</t>
  </si>
  <si>
    <t>Expense</t>
  </si>
  <si>
    <t>Tenant</t>
  </si>
  <si>
    <t>Square Footage</t>
  </si>
  <si>
    <t>Date</t>
  </si>
  <si>
    <t>per Sq Ft</t>
  </si>
  <si>
    <t>Gross Rent</t>
  </si>
  <si>
    <t>Inflation</t>
  </si>
  <si>
    <t>OPERATING EXPENSES</t>
  </si>
  <si>
    <t>Expenses:</t>
  </si>
  <si>
    <t>Per Unit/Month</t>
  </si>
  <si>
    <t>Subtotal Controllable Expenses</t>
  </si>
  <si>
    <t>Subtotal Non-Controllable Expenses</t>
  </si>
  <si>
    <t>Total Operating Expense</t>
  </si>
  <si>
    <t>Replacement Reserve</t>
  </si>
  <si>
    <t>Total Expenses &amp; R.R.</t>
  </si>
  <si>
    <t xml:space="preserve">     Percentage of EGI</t>
  </si>
  <si>
    <t xml:space="preserve">     Min Monthly Fee</t>
  </si>
  <si>
    <t xml:space="preserve">     Fee / unit / month</t>
  </si>
  <si>
    <t xml:space="preserve">         Inflation</t>
  </si>
  <si>
    <t xml:space="preserve">     Override - Base Year</t>
  </si>
  <si>
    <t>RBC</t>
  </si>
  <si>
    <t>Lease up and Expenses</t>
  </si>
  <si>
    <t>Page 6 A</t>
  </si>
  <si>
    <t>Standard</t>
  </si>
  <si>
    <t>Operating Expenses Detail</t>
  </si>
  <si>
    <t>Sensitivity</t>
  </si>
  <si>
    <t>Type of Expense</t>
  </si>
  <si>
    <t>Per Developer</t>
  </si>
  <si>
    <t>Cont - Admin</t>
  </si>
  <si>
    <t>Cont - Payroll</t>
  </si>
  <si>
    <t>NonC - Insurance</t>
  </si>
  <si>
    <t>Cont - Repair &amp; Maint.</t>
  </si>
  <si>
    <t>NonC - Utilities</t>
  </si>
  <si>
    <t>NonC - Water &amp; Sewer</t>
  </si>
  <si>
    <t>Balance per Developer</t>
  </si>
  <si>
    <t xml:space="preserve">SCENARIO DATA USED -  </t>
  </si>
  <si>
    <t>Page C</t>
  </si>
  <si>
    <t>INFLATION</t>
  </si>
  <si>
    <t>Weighted Average Revenue</t>
  </si>
  <si>
    <t>Other Income (Net)</t>
  </si>
  <si>
    <t>Actual Vacancy %</t>
  </si>
  <si>
    <t>Replacement Reserves - RBC</t>
  </si>
  <si>
    <t>Replacement Reserves - Lender</t>
  </si>
  <si>
    <t>fCreditRate9</t>
  </si>
  <si>
    <t>mEligibleBasis9</t>
  </si>
  <si>
    <t>fIRR</t>
  </si>
  <si>
    <t>vEventType</t>
  </si>
  <si>
    <t>vEvent</t>
  </si>
  <si>
    <t>vDateType</t>
  </si>
  <si>
    <t>dtEvent</t>
  </si>
  <si>
    <t>dtEntry</t>
  </si>
  <si>
    <t>LPA</t>
  </si>
  <si>
    <t xml:space="preserve">Closing </t>
  </si>
  <si>
    <t>Actual</t>
  </si>
  <si>
    <t xml:space="preserve">Start </t>
  </si>
  <si>
    <t xml:space="preserve">End </t>
  </si>
  <si>
    <t xml:space="preserve">Perm Loan </t>
  </si>
  <si>
    <t xml:space="preserve">Closed </t>
  </si>
  <si>
    <t xml:space="preserve">Replacement Reserve </t>
  </si>
  <si>
    <t xml:space="preserve">Stabilization </t>
  </si>
  <si>
    <t xml:space="preserve">Achieved </t>
  </si>
  <si>
    <t>vVendor</t>
  </si>
  <si>
    <t>mOrigLoanAmt</t>
  </si>
  <si>
    <t>iAmortTerm</t>
  </si>
  <si>
    <t>iLoanTerm</t>
  </si>
  <si>
    <t>vNotes</t>
  </si>
  <si>
    <t>mResRepAnnualAmountperUnit</t>
  </si>
  <si>
    <t>SL</t>
  </si>
  <si>
    <t>ALWAYS  "NET EQUITY"</t>
  </si>
  <si>
    <t>Certified LIHTC</t>
  </si>
  <si>
    <t>Early Delivery</t>
  </si>
  <si>
    <t>Electricity</t>
  </si>
  <si>
    <t>Tenancy</t>
  </si>
  <si>
    <t>Partnership Name</t>
  </si>
  <si>
    <t xml:space="preserve">Credit Type: </t>
  </si>
  <si>
    <t xml:space="preserve">Status: </t>
  </si>
  <si>
    <t>Location Code</t>
  </si>
  <si>
    <t>Investment Type</t>
  </si>
  <si>
    <t>Region</t>
  </si>
  <si>
    <t>Scattered</t>
  </si>
  <si>
    <t>Federal LIHTC</t>
  </si>
  <si>
    <t xml:space="preserve">State Historic: </t>
  </si>
  <si>
    <t xml:space="preserve">Federal Historic </t>
  </si>
  <si>
    <t>vCity</t>
  </si>
  <si>
    <t>vState</t>
  </si>
  <si>
    <t>vPropType</t>
  </si>
  <si>
    <t>vPartnershipName</t>
  </si>
  <si>
    <t>vLocationCode</t>
  </si>
  <si>
    <t>vRegion</t>
  </si>
  <si>
    <t>vScattered</t>
  </si>
  <si>
    <t>vSpecialNeeds</t>
  </si>
  <si>
    <t>vCounty</t>
  </si>
  <si>
    <t>vFedLIHTC</t>
  </si>
  <si>
    <t>vStateLIHTC</t>
  </si>
  <si>
    <t>vStateHistoric</t>
  </si>
  <si>
    <t>vFedHistoric</t>
  </si>
  <si>
    <t>iType_ID</t>
  </si>
  <si>
    <t>dtStart</t>
  </si>
  <si>
    <t>dtEnd</t>
  </si>
  <si>
    <t>vFrequency</t>
  </si>
  <si>
    <t>vCurrentPeriod</t>
  </si>
  <si>
    <t>dtCurrentDue</t>
  </si>
  <si>
    <t>Audit =</t>
  </si>
  <si>
    <t>Annually</t>
  </si>
  <si>
    <t>8609 =</t>
  </si>
  <si>
    <t>One-Time</t>
  </si>
  <si>
    <t>Cost Cert =</t>
  </si>
  <si>
    <t xml:space="preserve">EXCEL MAIN </t>
  </si>
  <si>
    <t>dtInflator</t>
  </si>
  <si>
    <t>nPercent</t>
  </si>
  <si>
    <t>vAccount</t>
  </si>
  <si>
    <t>iBook</t>
  </si>
  <si>
    <t>iType</t>
  </si>
  <si>
    <t>Inflator</t>
  </si>
  <si>
    <t>TXFinancial</t>
  </si>
  <si>
    <t>Mapping</t>
  </si>
  <si>
    <t>No Headers</t>
  </si>
  <si>
    <t>vInvestor</t>
  </si>
  <si>
    <t>iyear</t>
  </si>
  <si>
    <t>vsource</t>
  </si>
  <si>
    <t>fOwnership</t>
  </si>
  <si>
    <t>Manual</t>
  </si>
  <si>
    <t>CLOSING DATE</t>
  </si>
  <si>
    <t>vIntType</t>
  </si>
  <si>
    <t>iInt</t>
  </si>
  <si>
    <t>* COPY PASTE EXCEL FILE FROM CLIENT INTO "DATA" TAB</t>
  </si>
  <si>
    <t>iCollRuleID</t>
  </si>
  <si>
    <t>iLag</t>
  </si>
  <si>
    <t>iEmailID</t>
  </si>
  <si>
    <t>bActive</t>
  </si>
  <si>
    <t>Email</t>
  </si>
  <si>
    <t>booltrue</t>
  </si>
  <si>
    <t xml:space="preserve">STEP 1 </t>
  </si>
  <si>
    <t>USE EXCEL MAIN TO ARRANGE THE DATA GIVEN BY CLIENT  ( PROJECTED IS FILE)</t>
  </si>
  <si>
    <t>A NEW FILE WILL BE CREATED WITH THE NAME THAT WAS INITIALY SET UP IN EXCEL MAIN APP</t>
  </si>
  <si>
    <t xml:space="preserve">STEP 2 </t>
  </si>
  <si>
    <t xml:space="preserve">OPEN THE NEW FILE CREATED BY EXCEL MAIN </t>
  </si>
  <si>
    <t xml:space="preserve">FIRST TAB : TX FINANCIAL </t>
  </si>
  <si>
    <t xml:space="preserve">STEP 3 </t>
  </si>
  <si>
    <t>USE BATCH LOADER</t>
  </si>
  <si>
    <t xml:space="preserve">COPY COLUMN C - H WITH HEADERS AND PASTE TO TX FINANCIAL TAB </t>
  </si>
  <si>
    <t>TO LOAD SLOW</t>
  </si>
  <si>
    <t xml:space="preserve">COPY COLUMN J - M WITH OUT HEADERS AND PASTE TO MAPPING TAB </t>
  </si>
  <si>
    <t>Filter out and remove zeros, words and blanks</t>
  </si>
  <si>
    <t>EQUITY</t>
  </si>
  <si>
    <t>Urban</t>
  </si>
  <si>
    <t>Asset Management Fee</t>
  </si>
  <si>
    <t>AMF</t>
  </si>
  <si>
    <t>Yes-Exception</t>
  </si>
  <si>
    <t>Miscellaneous Income</t>
  </si>
  <si>
    <t>Sec 8 - PBV</t>
  </si>
  <si>
    <t>Lender</t>
  </si>
  <si>
    <t>Source Doc</t>
  </si>
  <si>
    <t>Source Doc2</t>
  </si>
  <si>
    <t>Source Field</t>
  </si>
  <si>
    <t>Source Field location</t>
  </si>
  <si>
    <t>Table</t>
  </si>
  <si>
    <t>Column</t>
  </si>
  <si>
    <t>Notes/Criteria</t>
  </si>
  <si>
    <t xml:space="preserve">IC Screen </t>
  </si>
  <si>
    <t>IC Field</t>
  </si>
  <si>
    <t>Case details</t>
  </si>
  <si>
    <t>Property Information section</t>
  </si>
  <si>
    <t>PropInt</t>
  </si>
  <si>
    <t xml:space="preserve">Totals (Aurelia) </t>
  </si>
  <si>
    <t>Asset Code</t>
  </si>
  <si>
    <t>Where vIntTyype =</t>
  </si>
  <si>
    <t>• Total Units</t>
  </si>
  <si>
    <t>• LIHTC Units</t>
  </si>
  <si>
    <t>• Managers Units</t>
  </si>
  <si>
    <t>• Total Buildings</t>
  </si>
  <si>
    <t>• Market Units</t>
  </si>
  <si>
    <t>Total Type</t>
  </si>
  <si>
    <t>B9 Number of Total Units</t>
  </si>
  <si>
    <t>Number</t>
  </si>
  <si>
    <t>Equity Funding &amp; Lease up</t>
  </si>
  <si>
    <t>Assumptions section</t>
  </si>
  <si>
    <t>ProjOccupancy</t>
  </si>
  <si>
    <t>Projected Occupancy (Aurelia)</t>
  </si>
  <si>
    <t>Property Code</t>
  </si>
  <si>
    <t>G124 and down,</t>
  </si>
  <si>
    <t>Month column</t>
  </si>
  <si>
    <t>Date Period</t>
  </si>
  <si>
    <t>H124 and down, Revenue units column</t>
  </si>
  <si>
    <t>Remove rows where value = 0</t>
  </si>
  <si>
    <t>Occupied Units (LIHTC)</t>
  </si>
  <si>
    <t>Occupied Units (Market)</t>
  </si>
  <si>
    <t>SUM  of  iOccLIHTCUnits and iOccMarketUnits</t>
  </si>
  <si>
    <t>Occupied Units</t>
  </si>
  <si>
    <t>Projected Taxable Income/(Loss) Section</t>
  </si>
  <si>
    <t>Projection_Annual</t>
  </si>
  <si>
    <t>Proeprty Code</t>
  </si>
  <si>
    <t>LPA/LT – Closing – Actual</t>
  </si>
  <si>
    <t>Projection Date</t>
  </si>
  <si>
    <t>NA</t>
  </si>
  <si>
    <t>Always "Closed"</t>
  </si>
  <si>
    <t>Projections  (Aurelia)</t>
  </si>
  <si>
    <t>Description</t>
  </si>
  <si>
    <t>Annual Projections tab at bottom of screen</t>
  </si>
  <si>
    <t>C413 and down, Projected Taxable Income (Loss)</t>
  </si>
  <si>
    <t>Investor Tax Income column</t>
  </si>
  <si>
    <t>I413 and down, Projected State Tax Credits</t>
  </si>
  <si>
    <t>Annual Projections tab, click "Open all"</t>
  </si>
  <si>
    <t>State credit</t>
  </si>
  <si>
    <t>F413 and down, Projected Federal Housing Tax Credits</t>
  </si>
  <si>
    <t>Fed Credits column</t>
  </si>
  <si>
    <t>Rental Income Section</t>
  </si>
  <si>
    <t>Rents</t>
  </si>
  <si>
    <t>Field not available on front end.</t>
  </si>
  <si>
    <t>C498 down, Type</t>
  </si>
  <si>
    <t>IF UNITS ARE LIHTC USE:</t>
  </si>
  <si>
    <t>• LI-Studio</t>
  </si>
  <si>
    <t>• LI-1BR</t>
  </si>
  <si>
    <t>• LI-2BR</t>
  </si>
  <si>
    <t>IF UNITS ARE MARKET OR NON-QUALIFIED TYPE USE:</t>
  </si>
  <si>
    <t>• Mkt-Studio</t>
  </si>
  <si>
    <t>• Mkt-1BR</t>
  </si>
  <si>
    <t>• Mkt-2BR</t>
  </si>
  <si>
    <t>Other types like Converted, Efficiency, or Employee may be used. Check with Beth or Paula if clarification is needed.</t>
  </si>
  <si>
    <t>Rent Overview (Aurelia) - Rent Detail section</t>
  </si>
  <si>
    <t>F501 down, % of AMI</t>
  </si>
  <si>
    <t>AMI</t>
  </si>
  <si>
    <t>A501 down, Bedrms</t>
  </si>
  <si>
    <t># Bed</t>
  </si>
  <si>
    <t>B501 down, Baths</t>
  </si>
  <si>
    <t># Bath</t>
  </si>
  <si>
    <t>H501 down, # of Units</t>
  </si>
  <si>
    <t># Units</t>
  </si>
  <si>
    <t>K501 down, Net Rent</t>
  </si>
  <si>
    <t>Proj.Rent</t>
  </si>
  <si>
    <t>R501 down, Max LIHTC NET Rent</t>
  </si>
  <si>
    <t>Q501 down, Utility Allowance</t>
  </si>
  <si>
    <t>G501 down, Avg. Sq. Ft. per unit</t>
  </si>
  <si>
    <t xml:space="preserve">Rent Overview (Aurelia) </t>
  </si>
  <si>
    <t xml:space="preserve">Sq. Ft. </t>
  </si>
  <si>
    <t>RentOverview</t>
  </si>
  <si>
    <t>Required. RBC enters this data on screen.</t>
  </si>
  <si>
    <t>Rent Overview (Aurelia) - Rent Overview Data section</t>
  </si>
  <si>
    <t>iRentFloor</t>
  </si>
  <si>
    <t>RBC enters this data on screen.</t>
  </si>
  <si>
    <t>Rent Floor</t>
  </si>
  <si>
    <t>Notes</t>
  </si>
  <si>
    <t>Rent_Detail</t>
  </si>
  <si>
    <t>Rent Overview (Aurelia) - Rent Detail section - Indented</t>
  </si>
  <si>
    <t>vText</t>
  </si>
  <si>
    <t>Text</t>
  </si>
  <si>
    <t>Event Dates</t>
  </si>
  <si>
    <t>Record 1:</t>
  </si>
  <si>
    <t>where vEventType = 'LPA'</t>
  </si>
  <si>
    <t>and vEvent = 'Closing'</t>
  </si>
  <si>
    <t>and vDateType = ' Actual'</t>
  </si>
  <si>
    <t>Record 2:</t>
  </si>
  <si>
    <t>where vEventType = 'Construction'</t>
  </si>
  <si>
    <t>and vEvent = 'Start'</t>
  </si>
  <si>
    <t>and vDateType = ' Projected'</t>
  </si>
  <si>
    <t>Record 3:</t>
  </si>
  <si>
    <t>where vEventType = 'Lease up'</t>
  </si>
  <si>
    <t>and vEvent = 'End'</t>
  </si>
  <si>
    <t>Record 4:</t>
  </si>
  <si>
    <t>where vEventType = 'Perm Loan'</t>
  </si>
  <si>
    <t>and vEvent = 'Closed'</t>
  </si>
  <si>
    <t>and vDateType = ' Projected</t>
  </si>
  <si>
    <t>Record 5:</t>
  </si>
  <si>
    <t>where vEventType = 'Replacement Reserve'</t>
  </si>
  <si>
    <t>Record 6:</t>
  </si>
  <si>
    <t>where vEventType = 'Stabilization'</t>
  </si>
  <si>
    <t>and vEvent = 'Achieved'</t>
  </si>
  <si>
    <t>Investor</t>
  </si>
  <si>
    <t>Always "rbcinven" unless stated to use another</t>
  </si>
  <si>
    <t>LT/LPA Closing Date provided in email</t>
  </si>
  <si>
    <t>vSource</t>
  </si>
  <si>
    <t>Always "Manual"</t>
  </si>
  <si>
    <t>G27 RBC Community Investments, LLC sharing percentage</t>
  </si>
  <si>
    <t>Input should be a whole number displayed with two decimals.</t>
  </si>
  <si>
    <t>fProfitLoss</t>
  </si>
  <si>
    <t>fCashFlow</t>
  </si>
  <si>
    <t>Equity Installments</t>
  </si>
  <si>
    <t>Equity-Installments/ CF-Distribution-(Aurelia) - Equity and Fee Installment Data</t>
  </si>
  <si>
    <t>Owner Code</t>
  </si>
  <si>
    <t>Effective Date</t>
  </si>
  <si>
    <t>Type: Equity and Developer Fee</t>
  </si>
  <si>
    <t>Commitment Details:</t>
  </si>
  <si>
    <t>• Before proceeding to Commitment Details, delete any records.</t>
  </si>
  <si>
    <t>• Under Payment Details, please confirm with Beth or Paula if deletion is necessary</t>
  </si>
  <si>
    <t>Equity-Installments/ CF-Distribution-(Aurelia) - Commitment Details &amp; Payment Details</t>
  </si>
  <si>
    <t>E85 and down</t>
  </si>
  <si>
    <t>Orig. Commit Date</t>
  </si>
  <si>
    <t>Equity-Installments/ CF-Distribution-(Aurelia) - Commitment Details</t>
  </si>
  <si>
    <t>Install #</t>
  </si>
  <si>
    <t>Populate based on total number of commitments</t>
  </si>
  <si>
    <t>G85 and down</t>
  </si>
  <si>
    <t>Type- Net Equity</t>
  </si>
  <si>
    <t>A85 and down</t>
  </si>
  <si>
    <t>Conditions</t>
  </si>
  <si>
    <t>• Clone the record you just created</t>
  </si>
  <si>
    <t>• Adjust accordingly and change Type to “Developer Fee”</t>
  </si>
  <si>
    <t>D104 and down</t>
  </si>
  <si>
    <t>G104 and down</t>
  </si>
  <si>
    <t>Type-  Developer Fee</t>
  </si>
  <si>
    <t>Type- Developer Fee</t>
  </si>
  <si>
    <t>B104 and down</t>
  </si>
  <si>
    <t>Case Details</t>
  </si>
  <si>
    <t>Projections</t>
  </si>
  <si>
    <t>Projections  (Aurelia) - Projection Data</t>
  </si>
  <si>
    <t>Units: B9</t>
  </si>
  <si>
    <t>Units</t>
  </si>
  <si>
    <t>Buildings</t>
  </si>
  <si>
    <t>Depr Life - Bldgs</t>
  </si>
  <si>
    <t>Depr Method - Bldgs</t>
  </si>
  <si>
    <t>Depr Life – Personal Prop: I186 Personal Property</t>
  </si>
  <si>
    <t>Depr Life - Personal Prop.</t>
  </si>
  <si>
    <t>Depr Method - Personal Prop.</t>
  </si>
  <si>
    <t>Fed Credit Price: B74 Price per credit</t>
  </si>
  <si>
    <t>Fed Credit Price</t>
  </si>
  <si>
    <t xml:space="preserve">Annual RR Per Unit: C646 Replacement Reserve Per Unit for RBC </t>
  </si>
  <si>
    <t>Annual RR Per Unit</t>
  </si>
  <si>
    <t xml:space="preserve">% Increase in RR: E646 Inflation % for RBC </t>
  </si>
  <si>
    <t>% Increase RR</t>
  </si>
  <si>
    <t>Development Cost: C447 Totals</t>
  </si>
  <si>
    <t>Development Cost</t>
  </si>
  <si>
    <t>Credit Rate 4% or Credit Rate 9%: D486 Tax Credit Percentage</t>
  </si>
  <si>
    <t>INPUT  CREDIT RATE OF  9% IF DATA IN D486 IS 9%</t>
  </si>
  <si>
    <t>Credit Rate 9%</t>
  </si>
  <si>
    <t>INPUT  CREDIT RATE OF  4% IF DATA IN D486 IS 4%</t>
  </si>
  <si>
    <t>Credit Rate 4%</t>
  </si>
  <si>
    <t xml:space="preserve">D469 1st Eligible Basis record under Low Income Housing Tax Credit Calculation section. If amounts in both Rehab Rehab and Acq column, sum together </t>
  </si>
  <si>
    <t>IF CREDIT RATE IS 9 %</t>
  </si>
  <si>
    <t>PLACE VALUE IN MELIGIBLEBASIS9</t>
  </si>
  <si>
    <t>Eligible Basis 9%</t>
  </si>
  <si>
    <t>IF CREDIT RATE IS 4 %</t>
  </si>
  <si>
    <t>PLACE VALUE IN MELIGIBLEBASIS4</t>
  </si>
  <si>
    <t>Eligible Basis 4%</t>
  </si>
  <si>
    <t>Est. Eligible Basis LIHTC</t>
  </si>
  <si>
    <t>Est. Federal LIHTC: K38 Low Income Housing Tax Credits</t>
  </si>
  <si>
    <t>Est. Federal LIHTC</t>
  </si>
  <si>
    <t>Annual Credit: C487 LIHTC Calculated</t>
  </si>
  <si>
    <t>Annual Credit</t>
  </si>
  <si>
    <t>Est Equity: G97 Capital Contributions total</t>
  </si>
  <si>
    <t>Est Equity</t>
  </si>
  <si>
    <t>Static DSC: B81 DSCR (base year)</t>
  </si>
  <si>
    <t>Static DSC</t>
  </si>
  <si>
    <t>IRR: C79 XIRR</t>
  </si>
  <si>
    <t>LIHTC Vacancy: H240 Vacancy</t>
  </si>
  <si>
    <t>LIHTC Vacancy</t>
  </si>
  <si>
    <t>Operating/EXP Unit: D629 Total Operating Expense row, Per Unit column in Operating Expenses section</t>
  </si>
  <si>
    <t>Operating EXP/Unit</t>
  </si>
  <si>
    <t>Operating Reserve: C446 Operating Reserves, Uses section</t>
  </si>
  <si>
    <t>Operating Reserve</t>
  </si>
  <si>
    <t>RR Reserve</t>
  </si>
  <si>
    <t>loan (Aurelia) - Loan Details</t>
  </si>
  <si>
    <t>Lender Code</t>
  </si>
  <si>
    <t>Get the lender code in the lender screen.</t>
  </si>
  <si>
    <t>Original Amt</t>
  </si>
  <si>
    <t>Provided in the case details.</t>
  </si>
  <si>
    <t>Amort Terms (mths)</t>
  </si>
  <si>
    <t>Loan Term (mths)</t>
  </si>
  <si>
    <t>Addtl. Notes</t>
  </si>
  <si>
    <t>Add the interest rate provided in the case details.</t>
  </si>
  <si>
    <t>Collection_Rule</t>
  </si>
  <si>
    <t>Entity Code</t>
  </si>
  <si>
    <t>Collection Rules (Aurelia) - Collection Rule</t>
  </si>
  <si>
    <t>Main Data Type-8609, Cost Cert, and Audit</t>
  </si>
  <si>
    <t>8609 AND COST CERT : It’s usually easier to copy from an existing record, and change the entity code, start date and due date</t>
  </si>
  <si>
    <t>• Start Date: LT/LPA closing date</t>
  </si>
  <si>
    <t>• End Date: skip, should be blank</t>
  </si>
  <si>
    <t>• Frequency: One-Time</t>
  </si>
  <si>
    <t>• Current Period Due: 1/1/1900</t>
  </si>
  <si>
    <t>• Current Due Date: LT/LPA closing date</t>
  </si>
  <si>
    <t>AUDIT : It’s usually easier to copy from an existing record and change the prop code, start date and due date</t>
  </si>
  <si>
    <t>• Start Date: closing date</t>
  </si>
  <si>
    <t>• End Date: skip</t>
  </si>
  <si>
    <t>• Frequency: Annually</t>
  </si>
  <si>
    <t>• Current Period Due: 12/31/Year of closing date</t>
  </si>
  <si>
    <t>Main Data Type</t>
  </si>
  <si>
    <t>Frequency</t>
  </si>
  <si>
    <t>Current Period</t>
  </si>
  <si>
    <t>WorkQ Due Record Date</t>
  </si>
  <si>
    <t>Notifications- For Audit Only</t>
  </si>
  <si>
    <t>AUDIT ONLY</t>
  </si>
  <si>
    <t>Notifications</t>
  </si>
  <si>
    <t>Lag</t>
  </si>
  <si>
    <t>Notification 1 lag: -90</t>
  </si>
  <si>
    <t>Notification 2 lag: -59</t>
  </si>
  <si>
    <t>Notification 3 lag: -28</t>
  </si>
  <si>
    <t>Notification 4 lag: -14</t>
  </si>
  <si>
    <t>For all Lag Notifications type for AUDIT = " GP Year End Reminder Inventory"</t>
  </si>
  <si>
    <t>Change owner to new owner code (usually rbcinven)</t>
  </si>
  <si>
    <t>LI-6BR</t>
  </si>
  <si>
    <t>LI-7BR</t>
  </si>
  <si>
    <t>LI-8BR</t>
  </si>
  <si>
    <t>LI-9BR</t>
  </si>
  <si>
    <t>Mkt-3BR</t>
  </si>
  <si>
    <t>Mkt-4BR</t>
  </si>
  <si>
    <t>Mkt-5BR</t>
  </si>
  <si>
    <t>Mkt-6BR</t>
  </si>
  <si>
    <t>Mkt-7BR</t>
  </si>
  <si>
    <t>Mkt-8BR</t>
  </si>
  <si>
    <t>Mkt-9BR</t>
  </si>
  <si>
    <t xml:space="preserve">UID FOR EQUITY : </t>
  </si>
  <si>
    <t xml:space="preserve">UID FOR DEVELOPER FEE : </t>
  </si>
  <si>
    <t>USE WORK Q CENTRAL</t>
  </si>
  <si>
    <t>DELETE ALL UNHIGHLIGHTED ROWS</t>
  </si>
  <si>
    <t>DRAG DOWN EACH FORMULAS FROM ROW  2 UNTIL ROW 49</t>
  </si>
  <si>
    <t xml:space="preserve">INSTRUCTIONS FOR PROJECT OCCUPANCY </t>
  </si>
  <si>
    <t>DATE TODAY</t>
  </si>
  <si>
    <t>Drag this formula down after draging down column E. This will determine the “vType” in column C, indicating whether the units are LIHTC or Market.</t>
  </si>
  <si>
    <t xml:space="preserve">Lease Up </t>
  </si>
  <si>
    <t xml:space="preserve">PULL DOWN THE FORMULAS UNTIL ROW 20 </t>
  </si>
  <si>
    <t>PROJECT STABILIZATION DATE</t>
  </si>
  <si>
    <t>VCODE</t>
  </si>
  <si>
    <t>REGION</t>
  </si>
  <si>
    <t>2. DELETE ALL EXISTING RECORDS FOR THIS PROPERTY ON EQUITY INSTALLMENTS SCREEN</t>
  </si>
  <si>
    <t>NULL</t>
  </si>
  <si>
    <t>dtPayment</t>
  </si>
  <si>
    <t>vInstallment</t>
  </si>
  <si>
    <t>mAmountPaid</t>
  </si>
  <si>
    <t>mOther</t>
  </si>
  <si>
    <t>vReason</t>
  </si>
  <si>
    <t>1. DRAG FORMULAS DOWN ONLY UNTIL THE EQUITY SECTION. DO NOT EXTEND FORMULAS BEYOND THE EQUITY–DEVELOPER FEE DIVIDER.</t>
  </si>
  <si>
    <t xml:space="preserve">                                                                                                                                                                                                  5. ADD 'vInstallnumber' FOR EQUITY (ASC–DESC);                                                                                          ADD 'vInstallnumber' FOR FEE (ASC–DESC);                                                                                                   *SEPARATE NUMBERING FOR EQUITY TYPE AND DEVELOPER FEE.</t>
  </si>
  <si>
    <t>2.  IN SQL GET THE UID FOR THE EQUITY AND DEVELOPER FEE TYPE                                                                   TO GET THE "iEquityInstallID" FOR EQUITY AND DEVELOPER FEE USE QUERRY BELOW</t>
  </si>
  <si>
    <t xml:space="preserve">3.  COPY AND PASTE UID OF EQUITY IN CELL "B1"                                                                                                                                                                                                COPY AND PASTE UID OF DEVELOPER FEE IN CELL "B2"                                                                                           DRAG THE FORMULA DOWN UNDER iEquityInstallID, ENSURING EACH CELL HAS ITS OWN ID. </t>
  </si>
  <si>
    <t xml:space="preserve">6. COPY AND PASTE ALL CELLS AS VALLUES THEN PASTE.                                                                                                                                      </t>
  </si>
  <si>
    <t xml:space="preserve">INSTRUCTIONS </t>
  </si>
  <si>
    <t xml:space="preserve">DO NOT DRAG FORMULAS DOWN HERE TO THE EQUITY - DEVELOPER FEE DIVDER </t>
  </si>
  <si>
    <t>P124 and down, Current column</t>
  </si>
  <si>
    <t>A413 and down, Year</t>
  </si>
  <si>
    <t>Buildings: B12</t>
  </si>
  <si>
    <t>Depr Life – Bldgs: I177 Residential Real Property</t>
  </si>
  <si>
    <r>
      <t>Est. Eligible Basis LIHTC: D481 2</t>
    </r>
    <r>
      <rPr>
        <vertAlign val="superscript"/>
        <sz val="12"/>
        <color rgb="FF000000"/>
        <rFont val="Aptos Narrow"/>
        <family val="2"/>
        <scheme val="minor"/>
      </rPr>
      <t>nd</t>
    </r>
    <r>
      <rPr>
        <sz val="12"/>
        <color rgb="FF000000"/>
        <rFont val="Aptos Narrow"/>
        <family val="2"/>
        <scheme val="minor"/>
      </rPr>
      <t xml:space="preserve"> Eligible Basis record, also sum Rehab and Acq together if applicable</t>
    </r>
  </si>
  <si>
    <t>Deferred Developers Fee: B76 Developer Fee – Deferred</t>
  </si>
  <si>
    <t xml:space="preserve">RR Reserve: D646 Annual Replacement Reserve for RBC </t>
  </si>
  <si>
    <t>IF PAYMENT DETAILS IS ADDED IN EQUITY GET THE iEquityInstallID in TAB 14 - CELL B1</t>
  </si>
  <si>
    <t>IF PAYMENT DETAILS IS ADDED IN DEVELOPER GET THE iEquityInstallID in TAB 14 - CELL B2</t>
  </si>
  <si>
    <t xml:space="preserve">OBTAIN INPUTS FROM CASE DETAILS </t>
  </si>
  <si>
    <t>INSTRUCTIONS BEFORE STARTING THE SET UP</t>
  </si>
  <si>
    <t>&lt;-- ROW 20</t>
  </si>
  <si>
    <t>INSTRUCTIONS FOR PROJECTION ANNUAL</t>
  </si>
  <si>
    <t>COPY PASTE ALL CELLS AS VALUES THEN DELETE THIS COLUMN (H) BEFORE BATCH LOADING</t>
  </si>
  <si>
    <t>COPY PASTE ALL CELLS AS VALUES THEN DELETE THIS COLUMN (F) BEFORE BATCH LOADING</t>
  </si>
  <si>
    <t xml:space="preserve">3. DRAG DOWN ALL REMAINING COLUMNS WITH FORMULAS </t>
  </si>
  <si>
    <t>INSTRUCTIONS FOR RENTS</t>
  </si>
  <si>
    <t>4. DELETE ALL UNHILIGHTED ROWS</t>
  </si>
  <si>
    <t>6. LOAD SLOW IN BATCH LOAD</t>
  </si>
  <si>
    <t>&lt;-- ROW 49</t>
  </si>
  <si>
    <t>INSTRUCTIONS FOR INVESTOR</t>
  </si>
  <si>
    <t>1. DO NOT CHANGE INVESTOR CODE UNLESS STATED IN THE CASE</t>
  </si>
  <si>
    <t xml:space="preserve">3. LOAD SLOW IN BATCH LOAD </t>
  </si>
  <si>
    <t xml:space="preserve">4. LOAD SLOW IN BATCH LOAD </t>
  </si>
  <si>
    <t xml:space="preserve">INSTRUCTIONS FOR EQUITYINSTALLMENTS </t>
  </si>
  <si>
    <t>1. GO TO THE EQUITY INSTALLMENTS SCREEN</t>
  </si>
  <si>
    <t>INSTRUCTIONS FOR PAYMENT</t>
  </si>
  <si>
    <t>INSTRUCTIONS FOR PROJECTION</t>
  </si>
  <si>
    <t xml:space="preserve">2. LOAD SLOW IN BATCH LOAD </t>
  </si>
  <si>
    <t>INSTRUCTIONS FOR LOAN</t>
  </si>
  <si>
    <t>Interest rate: %</t>
  </si>
  <si>
    <t>1. GET THE INTEREST RATE FROM THE CASE DETAILS AND ADD IN vNOTES</t>
  </si>
  <si>
    <t xml:space="preserve">5. LOAD SLOW IN BATCH LOAD </t>
  </si>
  <si>
    <t>INSTRUCTIONS FOR NOTIFICATION_RULE</t>
  </si>
  <si>
    <t xml:space="preserve">1. FROM COLLECTION RULES SCREEN PASTE THE RECORD ID OF THE DATA TYPE "AUDITS" IN CELLS (A6 - A9) </t>
  </si>
  <si>
    <t>INSTRUCTIONS FOR COLLECTION RULES</t>
  </si>
  <si>
    <t xml:space="preserve">1. COPY AND PASTE ALL CELLS AS VALUES </t>
  </si>
  <si>
    <t>3. LOAD SLOW IN BATCH LOAD</t>
  </si>
  <si>
    <t xml:space="preserve">7. DELETE ROWS 1-5  and 27. AFTER FINALIZING LOAD SLOW IN BATCH LOAD </t>
  </si>
  <si>
    <t>3. COPY AND PASTE ALL CELLS AND VALUES THEN DELETE ROWS 1- 6</t>
  </si>
  <si>
    <t>INSTRUCTIONS FOR PROPINT</t>
  </si>
  <si>
    <t>2. COPY AND PASTE ALL CELLS AS VALUES THEN DELETE ROWS 1-4</t>
  </si>
  <si>
    <t xml:space="preserve">2. COPY AND PASTE ALLL CELLS AS VALUES THEN DELTE ROWS 1 -4 </t>
  </si>
  <si>
    <t xml:space="preserve">RENTS REFERENCE </t>
  </si>
  <si>
    <t>vVENDOR</t>
  </si>
  <si>
    <t xml:space="preserve">* ADD ALL NECESARRY INPUTS FIRST IN "CASE INPUTS" TAB </t>
  </si>
  <si>
    <t>* ENSURE THIS IS A REGULAR SET UP NOT A STATE SET UP</t>
  </si>
  <si>
    <t>MAPPING PART SEND TO RBC.integratec.biz</t>
  </si>
  <si>
    <t>THIS WIL BE LOADED BY DMS</t>
  </si>
  <si>
    <t xml:space="preserve">CREATE  2 NEW TABS TO PASTE THE DATA </t>
  </si>
  <si>
    <t>SECOND TAB:  INFLATOR</t>
  </si>
  <si>
    <t>STEP 4</t>
  </si>
  <si>
    <t xml:space="preserve">WORQ WILL BE HANDLED BY DMS </t>
  </si>
  <si>
    <t>Hello, [Client]</t>
  </si>
  <si>
    <t>I have confirmed that I have received all the necessary documentation to set up this deal. This setup will be completed within 5 business days.</t>
  </si>
  <si>
    <t>Thank you!</t>
  </si>
  <si>
    <t>SOP FOR SENDING PROJECTED IS LOAD TO DMS</t>
  </si>
  <si>
    <t>EMAIL TEMPLATE</t>
  </si>
  <si>
    <t>Send First Response email to client + CC DMS ([RBC@integratec.biz]), Lindsey O'Connor, and Jessica Gouge</t>
  </si>
  <si>
    <t>Data Management Services (DMS) will complete the Projected IS load for this deal. This email sends the required data to their queue; the document is attached, and your RBC@integratec.biz address is included. Once my portion of the setup is complete, I will validate the DMS load before confirming full setup completion.</t>
  </si>
  <si>
    <t xml:space="preserve">INSTRUCTIONS FOR EVENT DATES </t>
  </si>
  <si>
    <t>1. COPY AND PASTE ALL CELLS AS VALUES THEN DELETE ROWS 1-3</t>
  </si>
  <si>
    <t xml:space="preserve">2. OPEN YOUR SAVED SCREEN SHOT FOR THE PAYMENT DETAILS </t>
  </si>
  <si>
    <t>3.DO NOT CHANGE 'vOwnercode: rbcinven' UNLESS STATED IN THE CASE</t>
  </si>
  <si>
    <t xml:space="preserve">4. ADD THE PAYMENT DETAILS: </t>
  </si>
  <si>
    <t>5. ADD THE INSTALLMENT NUMBER BASED ON THE ORIGINAL INPUT INSTALLMENT NUMBER.</t>
  </si>
  <si>
    <t xml:space="preserve">3. IF iAMORTTERM AND iLOANTERM ARE PLACED AS YEARS CONVERT TO MONTHs BY MULTIPLYING BY 12 </t>
  </si>
  <si>
    <t xml:space="preserve">2. GET vVENDOR IN VENDOR SCREEN IF NO vVENDOR IN VENDOR SCREEN ADD VENDOR AS LENDER </t>
  </si>
  <si>
    <t xml:space="preserve">STEP 5 </t>
  </si>
  <si>
    <t>USE THE FILE CREATED BY EXCEL MAIN APP AND SEND TO BATCH LOAD TO LOAD SLOW TXFINANCIAL AND INFLATOR</t>
  </si>
  <si>
    <t>1. COPY AND PASTE ALL CELLS AS VALUES, THEN DELETE ROWS 1-3</t>
  </si>
  <si>
    <t>2. DELETE ROWS 1-3 AND COLUMN B</t>
  </si>
  <si>
    <t>4. AFTER FINALIZING COPY AND PASTE ALL CELLS AS VALUES AND DELETE ROWS 1-6</t>
  </si>
  <si>
    <t>4.  DELETE ALL UNHIGHLIGHTED ROWS</t>
  </si>
  <si>
    <t>EVENT DATES</t>
  </si>
  <si>
    <t xml:space="preserve">Event dates are complete and correctly generated </t>
  </si>
  <si>
    <t>RENTS</t>
  </si>
  <si>
    <t xml:space="preserve">COLLECTION RULES </t>
  </si>
  <si>
    <t xml:space="preserve">Make sure that dates are entered in correctly </t>
  </si>
  <si>
    <t>Notification lags properly added</t>
  </si>
  <si>
    <t xml:space="preserve">Email types are properly assigned </t>
  </si>
  <si>
    <t xml:space="preserve">EQUITY INSTALLMENTS </t>
  </si>
  <si>
    <t>2. Run the Rent Matrix Report in Reports (Aurelia) and add your property.</t>
  </si>
  <si>
    <t xml:space="preserve">1. Make sure you have completed your part in Rents, then confirm if DMS have loaded projeceted IS in SQL. </t>
  </si>
  <si>
    <t>3. Rent load should appear in the downloaded Excel report.</t>
  </si>
  <si>
    <t>Equity and Developer Fee</t>
  </si>
  <si>
    <t>2. No missing or duplicate commitment details</t>
  </si>
  <si>
    <t xml:space="preserve">1. There must 2 records for Equity Installments </t>
  </si>
  <si>
    <t xml:space="preserve">1. Make sure these fields are added correctly and contain no blank values: </t>
  </si>
  <si>
    <t>4. If everything is loaded in correctly but still nothings shows in the report confirm with RBC if they have done their part for Rents screen</t>
  </si>
  <si>
    <t>PROPERTY</t>
  </si>
  <si>
    <r>
      <t xml:space="preserve">Use Querry to check for Projected IS:                                                                           </t>
    </r>
    <r>
      <rPr>
        <b/>
        <i/>
        <sz val="12"/>
        <color theme="0"/>
        <rFont val="Aptos Narrow"/>
        <family val="2"/>
        <scheme val="minor"/>
      </rPr>
      <t>USE RBC                                                                                                                                   select * from vStaging_Journal_Entry where vCode = ‘your prop’ and vSource = ‘Projected IS’</t>
    </r>
  </si>
  <si>
    <r>
      <t xml:space="preserve">To check if you have succesfully loaded your Rents load use querry :              </t>
    </r>
    <r>
      <rPr>
        <b/>
        <i/>
        <sz val="12"/>
        <color theme="0"/>
        <rFont val="Aptos Narrow"/>
        <family val="2"/>
        <scheme val="minor"/>
      </rPr>
      <t>USE RBC                                                                                                                               select * from rents 
where vcode ='your prop</t>
    </r>
    <r>
      <rPr>
        <b/>
        <sz val="12"/>
        <color theme="0"/>
        <rFont val="Aptos Narrow"/>
        <family val="2"/>
        <scheme val="minor"/>
      </rPr>
      <t xml:space="preserve">'       </t>
    </r>
  </si>
  <si>
    <t>INSTRUCTIONS FOR TXPROP</t>
  </si>
  <si>
    <t>INSTRUCTIONS FOR PROPERTY</t>
  </si>
  <si>
    <t xml:space="preserve">2. COPY AND PASTE ALL CELLS AS VALUES </t>
  </si>
  <si>
    <t xml:space="preserve">3. DELETE ROWS 1-3  </t>
  </si>
  <si>
    <t xml:space="preserve">1. IF RBC HAS ALREADY ENTERED THESE INPUTS SKIP THIS PART IF NO INPUTS PROCEED TO STEP 2 - 4 </t>
  </si>
  <si>
    <t>* SEND THE PROJECTIONS LOAD TO DMS. STEPS ON HOW TO DO IT IS ON TAB 6</t>
  </si>
  <si>
    <t>5. COPY AND PASTE ALL CELLS AS VALUES THEN DELETE COLUMN B AND ROWS 1-7</t>
  </si>
  <si>
    <t>INSTRUCTIONS FOR PARTNERAGREE</t>
  </si>
  <si>
    <t>2. COPY AND PASTE ALL CELLS AS VALUES AND DELETE ROWS 1-4</t>
  </si>
  <si>
    <t>1.  PROCEED WITH THIS LOAD TAB WHEN A PAYMENT DETAIL IS SET UP.</t>
  </si>
  <si>
    <t>**IMPORTANT NOTE IF THERE IS A PAYMENT DETAIL TAKE A SCREEN SHOT, IT WILL BE RE ADDED AFTER LOADING TAB 14</t>
  </si>
  <si>
    <t>7. LOAD SLOW IN BATCH LOAD</t>
  </si>
  <si>
    <t>6. COPY AND PASTE ALL CELSS AS VALUES AND DELETE ROWS 1-10</t>
  </si>
  <si>
    <t>1. COPY AND PASTE ALL CELLS AS VALUES. DELETE ROWS 1-3</t>
  </si>
  <si>
    <t xml:space="preserve">STATUS </t>
  </si>
  <si>
    <t>LI-Studio</t>
  </si>
  <si>
    <t>Mkt-Studio</t>
  </si>
  <si>
    <t>Converted</t>
  </si>
  <si>
    <t>Efficiency</t>
  </si>
  <si>
    <t>Employee</t>
  </si>
  <si>
    <t>New Construction</t>
  </si>
  <si>
    <t>Partnership Closing, AHAP</t>
  </si>
  <si>
    <t>Fixed 9%</t>
  </si>
  <si>
    <t>Maintenance Payroll</t>
  </si>
  <si>
    <t>Exterminating</t>
  </si>
  <si>
    <t>Property Insurance</t>
  </si>
  <si>
    <t>1. DRAG DOWN THE FORMULA FOR COLUMN E &gt; G THEN B</t>
  </si>
  <si>
    <t>2. DRAG DOWN THE FORMULAS UNTIL ROW 50</t>
  </si>
  <si>
    <t>&lt;-- GET Vvendor FOR LOAN LENDER IN VENDOR SCREEN IF NO vVENDOR IN VENDOR SCREEN ADD VENDOR AS LENDER</t>
  </si>
  <si>
    <t>West Tremont Senior</t>
  </si>
  <si>
    <t>Bronx</t>
  </si>
  <si>
    <t>NY</t>
  </si>
  <si>
    <t>High-Rise</t>
  </si>
  <si>
    <t>Senior 62+</t>
  </si>
  <si>
    <t>TCB 103-107 West Tremont JV Developer LLC</t>
  </si>
  <si>
    <t>Variable</t>
  </si>
  <si>
    <t>Certified</t>
  </si>
  <si>
    <t>1-mo SOFR</t>
  </si>
  <si>
    <t>10yr Treasury</t>
  </si>
  <si>
    <t>TCB West Tremont Limited Partnership</t>
  </si>
  <si>
    <t>TCB West Tremont GP LLC</t>
  </si>
  <si>
    <t>RBC-West Tremont, LLC</t>
  </si>
  <si>
    <t>Bank of New York</t>
  </si>
  <si>
    <t>1-mo SOFR + 286 bps</t>
  </si>
  <si>
    <t>HPD SARA</t>
  </si>
  <si>
    <t>M&amp;T - Fannie/Freddie</t>
  </si>
  <si>
    <t>Operating Reserve Sweep</t>
  </si>
  <si>
    <t>Operating Reserve Release</t>
  </si>
  <si>
    <t>FHLBNY AHP</t>
  </si>
  <si>
    <t>Incentive Management Fee</t>
  </si>
  <si>
    <t>IMF</t>
  </si>
  <si>
    <t>% CF</t>
  </si>
  <si>
    <t>90% Completion, Form 8832; 7/1/2028</t>
  </si>
  <si>
    <t>TCO, HAP, 10/1/2028</t>
  </si>
  <si>
    <t>PCS, PCC, 11/1/2028</t>
  </si>
  <si>
    <t>FCC, 168(h), 100% QO, 90@90, PLC, Stabilization, FCS; 5/1/2029</t>
  </si>
  <si>
    <t>Final CO, 8609's, audits, 7/1/2029</t>
  </si>
  <si>
    <t>Homeless</t>
  </si>
  <si>
    <t>Laundry &amp; Vending</t>
  </si>
  <si>
    <t>Legal</t>
  </si>
  <si>
    <t>Audit &amp; Tax Return</t>
  </si>
  <si>
    <t>LIHTC Monitoring Fee</t>
  </si>
  <si>
    <t>Benchmarking</t>
  </si>
  <si>
    <t xml:space="preserve">Heating &amp; Cooling </t>
  </si>
  <si>
    <t>Water &amp; Sewer</t>
  </si>
  <si>
    <t>Internet / Broadband</t>
  </si>
  <si>
    <t>Solar Savings</t>
  </si>
  <si>
    <t xml:space="preserve">Elevator </t>
  </si>
  <si>
    <t>Misc. R&amp;M</t>
  </si>
  <si>
    <t>Front Desk Security</t>
  </si>
  <si>
    <t>Cont - Other</t>
  </si>
  <si>
    <t>Manager Salary</t>
  </si>
  <si>
    <t>westrmt</t>
  </si>
  <si>
    <t>mtbank</t>
  </si>
  <si>
    <t>COPY COLUMN O , P , Q &amp; S RENAME HEADERS TO APPROPRIATE FORMAT</t>
  </si>
  <si>
    <t>1. EASILY ADDED IN MANUALLY ON SCREEN OR UPDATE IN BATCH LOAD</t>
  </si>
  <si>
    <t xml:space="preserve">3. UPDATE IN BATCH LOAD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</si>
</sst>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4">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409]mmm\-yy;@"/>
    <numFmt numFmtId="165" formatCode="m/d/yyyy;@"/>
    <numFmt numFmtId="166" formatCode="[$-409]h:mm\ AM/PM;@"/>
    <numFmt numFmtId="167" formatCode="0.000%"/>
    <numFmt numFmtId="168" formatCode="0.0000%"/>
    <numFmt numFmtId="169" formatCode="&quot;$&quot;#,##0.0000_);\(&quot;$&quot;#,##0.0000\)"/>
    <numFmt numFmtId="170" formatCode="_(* #,##0.0000_);_(* \(#,##0.0000\);_(* &quot;-&quot;??_);_(@_)"/>
    <numFmt numFmtId="171" formatCode="_(* #,##0_);_(* \(#,##0\);_(* &quot;-&quot;??_);_(@_)"/>
    <numFmt numFmtId="172" formatCode=";;;"/>
    <numFmt numFmtId="173" formatCode="mm/dd/yy;@"/>
    <numFmt numFmtId="174" formatCode="_(&quot;$&quot;* #,##0.0000_);_(&quot;$&quot;* \(#,##0.0000\);_(&quot;$&quot;* &quot;-&quot;????_);_(@_)"/>
    <numFmt numFmtId="175" formatCode="[$-409]mmmm\-yy;@"/>
    <numFmt numFmtId="176" formatCode="0.0%"/>
    <numFmt numFmtId="177" formatCode="0.0"/>
    <numFmt numFmtId="178" formatCode="0.000"/>
    <numFmt numFmtId="179" formatCode="_(* #,##0.00_);_(* \(#,##0.00\);_(* &quot;-&quot;_);_(@_)"/>
    <numFmt numFmtId="180" formatCode="0_);[Red]\(0\)"/>
    <numFmt numFmtId="181" formatCode="_(&quot;$&quot;* #,##0_);_(&quot;$&quot;* \(#,##0\);_(&quot;$&quot;* &quot;-&quot;??_);_(@_)"/>
    <numFmt numFmtId="182" formatCode="0_);\(0\)"/>
    <numFmt numFmtId="183" formatCode="0.00_);[Red]\(0.00\)"/>
  </numFmts>
  <fonts count="60" x14ac:knownFonts="1">
    <font>
      <sz val="11"/>
      <color theme="1"/>
      <name val="Aptos Narrow"/>
      <family val="2"/>
      <scheme val="minor"/>
    </font>
    <font>
      <b/>
      <sz val="14"/>
      <name val="Arial"/>
      <family val="2"/>
    </font>
    <font>
      <sz val="12"/>
      <name val="Arial"/>
      <family val="2"/>
    </font>
    <font>
      <sz val="12"/>
      <color rgb="FFFF0000"/>
      <name val="Arial"/>
      <family val="2"/>
    </font>
    <font>
      <sz val="10"/>
      <name val="Times New Roman"/>
      <family val="1"/>
    </font>
    <font>
      <b/>
      <sz val="10"/>
      <name val="Arial"/>
      <family val="2"/>
    </font>
    <font>
      <b/>
      <sz val="12"/>
      <color rgb="FFFF0000"/>
      <name val="Arial"/>
      <family val="2"/>
    </font>
    <font>
      <b/>
      <sz val="12"/>
      <name val="Arial"/>
      <family val="2"/>
    </font>
    <font>
      <b/>
      <sz val="10"/>
      <name val="Times New Roman"/>
      <family val="1"/>
    </font>
    <font>
      <sz val="10"/>
      <color theme="1"/>
      <name val="Arial"/>
      <family val="2"/>
    </font>
    <font>
      <sz val="8"/>
      <name val="Times New Roman"/>
      <family val="1"/>
    </font>
    <font>
      <u/>
      <sz val="10"/>
      <name val="Times New Roman"/>
      <family val="1"/>
    </font>
    <font>
      <b/>
      <sz val="8"/>
      <name val="Arial"/>
      <family val="2"/>
    </font>
    <font>
      <u/>
      <sz val="8"/>
      <name val="Times New Roman"/>
      <family val="1"/>
    </font>
    <font>
      <b/>
      <u/>
      <sz val="10"/>
      <name val="Times New Roman"/>
      <family val="1"/>
    </font>
    <font>
      <b/>
      <sz val="10"/>
      <color rgb="FFFF0000"/>
      <name val="Times New Roman"/>
      <family val="1"/>
    </font>
    <font>
      <sz val="14"/>
      <name val="Arial"/>
      <family val="2"/>
    </font>
    <font>
      <sz val="10"/>
      <name val="Arial"/>
      <family val="2"/>
    </font>
    <font>
      <sz val="11"/>
      <color rgb="FF181818"/>
      <name val="Segoe UI"/>
      <family val="2"/>
    </font>
    <font>
      <b/>
      <sz val="12"/>
      <color rgb="FF000000"/>
      <name val="Calibri"/>
      <family val="2"/>
    </font>
    <font>
      <i/>
      <sz val="10"/>
      <color theme="1"/>
      <name val="Aptos Narrow"/>
      <family val="2"/>
      <scheme val="minor"/>
    </font>
    <font>
      <sz val="12"/>
      <color rgb="FF000000"/>
      <name val="Aptos Narrow"/>
      <family val="2"/>
      <scheme val="minor"/>
    </font>
    <font>
      <sz val="11"/>
      <color theme="0"/>
      <name val="Aptos Narrow"/>
      <family val="2"/>
      <scheme val="minor"/>
    </font>
    <font>
      <i/>
      <sz val="9"/>
      <color theme="1"/>
      <name val="Aptos Narrow"/>
      <family val="2"/>
      <scheme val="minor"/>
    </font>
    <font>
      <sz val="12"/>
      <color theme="1"/>
      <name val="Aptos Narrow"/>
      <family val="2"/>
      <scheme val="minor"/>
    </font>
    <font>
      <b/>
      <i/>
      <sz val="16"/>
      <color theme="1"/>
      <name val="Aptos Narrow"/>
      <family val="2"/>
      <scheme val="minor"/>
    </font>
    <font>
      <i/>
      <sz val="12"/>
      <name val="Aptos Light"/>
      <family val="2"/>
    </font>
    <font>
      <i/>
      <sz val="16"/>
      <color theme="1"/>
      <name val="Aptos Narrow"/>
      <family val="2"/>
      <scheme val="minor"/>
    </font>
    <font>
      <b/>
      <sz val="11"/>
      <color theme="0"/>
      <name val="Aptos Narrow"/>
      <family val="2"/>
      <scheme val="minor"/>
    </font>
    <font>
      <b/>
      <sz val="12"/>
      <color theme="1"/>
      <name val="Aptos Narrow"/>
      <family val="2"/>
      <scheme val="minor"/>
    </font>
    <font>
      <i/>
      <sz val="12"/>
      <color theme="1"/>
      <name val="Aptos Narrow"/>
      <family val="2"/>
      <scheme val="minor"/>
    </font>
    <font>
      <b/>
      <i/>
      <sz val="12"/>
      <color theme="1"/>
      <name val="Aptos Narrow"/>
      <family val="2"/>
      <scheme val="minor"/>
    </font>
    <font>
      <sz val="12"/>
      <name val="Aptos Narrow"/>
      <family val="2"/>
      <scheme val="minor"/>
    </font>
    <font>
      <sz val="14"/>
      <color theme="1"/>
      <name val="Aptos Narrow"/>
      <family val="2"/>
      <scheme val="minor"/>
    </font>
    <font>
      <sz val="12"/>
      <color theme="0"/>
      <name val="Aptos Narrow"/>
      <family val="2"/>
      <scheme val="minor"/>
    </font>
    <font>
      <i/>
      <sz val="12"/>
      <name val="Aptos Narrow"/>
      <family val="2"/>
      <scheme val="minor"/>
    </font>
    <font>
      <sz val="12"/>
      <color theme="1"/>
      <name val="Calibri"/>
      <family val="2"/>
    </font>
    <font>
      <b/>
      <sz val="14"/>
      <color theme="0"/>
      <name val="Aptos Narrow"/>
      <family val="2"/>
      <scheme val="minor"/>
    </font>
    <font>
      <sz val="14"/>
      <color theme="0"/>
      <name val="Aptos Narrow"/>
      <family val="2"/>
      <scheme val="minor"/>
    </font>
    <font>
      <b/>
      <sz val="12"/>
      <color theme="0"/>
      <name val="Aptos Narrow"/>
      <family val="2"/>
      <scheme val="minor"/>
    </font>
    <font>
      <b/>
      <sz val="20"/>
      <color theme="0"/>
      <name val="Aptos Narrow"/>
      <family val="2"/>
      <scheme val="minor"/>
    </font>
    <font>
      <b/>
      <i/>
      <sz val="11"/>
      <color theme="0"/>
      <name val="Calibri"/>
      <family val="2"/>
    </font>
    <font>
      <b/>
      <i/>
      <sz val="12"/>
      <color theme="0"/>
      <name val="Aptos Narrow"/>
      <family val="2"/>
      <scheme val="minor"/>
    </font>
    <font>
      <b/>
      <i/>
      <sz val="11"/>
      <color theme="0"/>
      <name val="Aptos Narrow"/>
      <family val="2"/>
      <scheme val="minor"/>
    </font>
    <font>
      <i/>
      <sz val="12"/>
      <color theme="0"/>
      <name val="Aptos Narrow"/>
      <family val="2"/>
      <scheme val="minor"/>
    </font>
    <font>
      <b/>
      <sz val="12"/>
      <color rgb="FFFFFFFF"/>
      <name val="Aptos Narrow"/>
      <family val="2"/>
      <scheme val="minor"/>
    </font>
    <font>
      <b/>
      <sz val="12"/>
      <color rgb="FF000000"/>
      <name val="Aptos Narrow"/>
      <family val="2"/>
      <scheme val="minor"/>
    </font>
    <font>
      <b/>
      <sz val="12"/>
      <color rgb="FF104861"/>
      <name val="Aptos Narrow"/>
      <family val="2"/>
      <scheme val="minor"/>
    </font>
    <font>
      <sz val="12"/>
      <color rgb="FFC0E6F5"/>
      <name val="Aptos Narrow"/>
      <family val="2"/>
      <scheme val="minor"/>
    </font>
    <font>
      <b/>
      <sz val="12"/>
      <color rgb="FFC0E6F5"/>
      <name val="Aptos Narrow"/>
      <family val="2"/>
      <scheme val="minor"/>
    </font>
    <font>
      <sz val="12"/>
      <color rgb="FF104861"/>
      <name val="Aptos Narrow"/>
      <family val="2"/>
      <scheme val="minor"/>
    </font>
    <font>
      <vertAlign val="superscript"/>
      <sz val="12"/>
      <color rgb="FF000000"/>
      <name val="Aptos Narrow"/>
      <family val="2"/>
      <scheme val="minor"/>
    </font>
    <font>
      <sz val="12"/>
      <color rgb="FF181818"/>
      <name val="Segoe UI"/>
      <family val="2"/>
    </font>
    <font>
      <b/>
      <sz val="13"/>
      <color theme="0"/>
      <name val="Aptos Narrow"/>
      <family val="2"/>
      <scheme val="minor"/>
    </font>
    <font>
      <b/>
      <sz val="11"/>
      <color theme="1"/>
      <name val="Aptos Narrow"/>
      <family val="2"/>
      <scheme val="minor"/>
    </font>
    <font>
      <i/>
      <sz val="12"/>
      <color rgb="FF000000"/>
      <name val="Aptos Narrow"/>
      <family val="2"/>
      <scheme val="minor"/>
    </font>
    <font>
      <sz val="11"/>
      <name val="Aptos Narrow"/>
      <family val="2"/>
      <scheme val="minor"/>
    </font>
    <font>
      <sz val="11"/>
      <color theme="0" tint="-0.14999847407452621"/>
      <name val="Aptos Narrow"/>
      <family val="2"/>
      <scheme val="minor"/>
    </font>
    <font>
      <sz val="12"/>
      <color theme="0" tint="-0.14999847407452621"/>
      <name val="Aptos Narrow"/>
      <family val="2"/>
      <scheme val="minor"/>
    </font>
    <font>
      <sz val="9"/>
      <color indexed="81"/>
      <name val="Tahoma"/>
      <family val="2"/>
    </font>
  </fonts>
  <fills count="29">
    <fill>
      <patternFill patternType="none"/>
    </fill>
    <fill>
      <patternFill patternType="gray125"/>
    </fill>
    <fill>
      <patternFill patternType="solid">
        <fgColor indexed="9"/>
        <bgColor indexed="64"/>
      </patternFill>
    </fill>
    <fill>
      <patternFill patternType="solid">
        <fgColor rgb="FFFFFFCC"/>
        <bgColor indexed="64"/>
      </patternFill>
    </fill>
    <fill>
      <patternFill patternType="solid">
        <fgColor indexed="22"/>
        <bgColor indexed="64"/>
      </patternFill>
    </fill>
    <fill>
      <patternFill patternType="solid">
        <fgColor indexed="43"/>
        <bgColor indexed="64"/>
      </patternFill>
    </fill>
    <fill>
      <patternFill patternType="solid">
        <fgColor rgb="FFFFFF66"/>
        <bgColor indexed="64"/>
      </patternFill>
    </fill>
    <fill>
      <patternFill patternType="solid">
        <fgColor rgb="FFFFFF00"/>
        <bgColor indexed="64"/>
      </patternFill>
    </fill>
    <fill>
      <patternFill patternType="solid">
        <fgColor rgb="FFFF7C80"/>
        <bgColor indexed="64"/>
      </patternFill>
    </fill>
    <fill>
      <patternFill patternType="solid">
        <fgColor theme="2" tint="-9.9978637043366805E-2"/>
        <bgColor indexed="64"/>
      </patternFill>
    </fill>
    <fill>
      <patternFill patternType="solid">
        <fgColor rgb="FFD9D9D9"/>
        <bgColor rgb="FF000000"/>
      </patternFill>
    </fill>
    <fill>
      <patternFill patternType="solid">
        <fgColor rgb="FF156082"/>
        <bgColor rgb="FF156082"/>
      </patternFill>
    </fill>
    <fill>
      <patternFill patternType="solid">
        <fgColor rgb="FFC0E6F5"/>
        <bgColor rgb="FF000000"/>
      </patternFill>
    </fill>
    <fill>
      <patternFill patternType="solid">
        <fgColor rgb="FF104861"/>
        <bgColor rgb="FF000000"/>
      </patternFill>
    </fill>
    <fill>
      <patternFill patternType="solid">
        <fgColor rgb="FF83CCEB"/>
        <bgColor rgb="FF000000"/>
      </patternFill>
    </fill>
    <fill>
      <patternFill patternType="solid">
        <fgColor rgb="FF156082"/>
        <bgColor rgb="FF000000"/>
      </patternFill>
    </fill>
    <fill>
      <patternFill patternType="solid">
        <fgColor theme="0" tint="-0.249977111117893"/>
        <bgColor indexed="64"/>
      </patternFill>
    </fill>
    <fill>
      <patternFill patternType="solid">
        <fgColor theme="2" tint="-0.499984740745262"/>
        <bgColor indexed="64"/>
      </patternFill>
    </fill>
    <fill>
      <patternFill patternType="solid">
        <fgColor theme="0"/>
        <bgColor indexed="64"/>
      </patternFill>
    </fill>
    <fill>
      <patternFill patternType="solid">
        <fgColor theme="3" tint="0.499984740745262"/>
        <bgColor indexed="64"/>
      </patternFill>
    </fill>
    <fill>
      <patternFill patternType="solid">
        <fgColor theme="3" tint="0.249977111117893"/>
        <bgColor indexed="64"/>
      </patternFill>
    </fill>
    <fill>
      <patternFill patternType="solid">
        <fgColor theme="2" tint="-0.749992370372631"/>
        <bgColor indexed="64"/>
      </patternFill>
    </fill>
    <fill>
      <patternFill patternType="solid">
        <fgColor rgb="FF0070C0"/>
        <bgColor indexed="64"/>
      </patternFill>
    </fill>
    <fill>
      <patternFill patternType="solid">
        <fgColor theme="1" tint="0.249977111117893"/>
        <bgColor indexed="64"/>
      </patternFill>
    </fill>
    <fill>
      <patternFill patternType="solid">
        <fgColor rgb="FF002060"/>
        <bgColor indexed="64"/>
      </patternFill>
    </fill>
    <fill>
      <patternFill patternType="solid">
        <fgColor rgb="FF002060"/>
        <bgColor rgb="FF000000"/>
      </patternFill>
    </fill>
    <fill>
      <patternFill patternType="solid">
        <fgColor theme="1" tint="0.249977111117893"/>
        <bgColor rgb="FF000000"/>
      </patternFill>
    </fill>
    <fill>
      <patternFill patternType="solid">
        <fgColor rgb="FFFF0000"/>
        <bgColor indexed="64"/>
      </patternFill>
    </fill>
    <fill>
      <patternFill patternType="solid">
        <fgColor theme="3" tint="0.249977111117893"/>
        <bgColor rgb="FF000000"/>
      </patternFill>
    </fill>
  </fills>
  <borders count="62">
    <border>
      <left/>
      <right/>
      <top/>
      <bottom/>
      <diagonal/>
    </border>
    <border>
      <left/>
      <right/>
      <top/>
      <bottom style="medium">
        <color indexed="64"/>
      </bottom>
      <diagonal/>
    </border>
    <border>
      <left/>
      <right/>
      <top style="medium">
        <color indexed="64"/>
      </top>
      <bottom style="thin">
        <color indexed="64"/>
      </bottom>
      <diagonal/>
    </border>
    <border>
      <left/>
      <right/>
      <top/>
      <bottom style="thin">
        <color indexed="64"/>
      </bottom>
      <diagonal/>
    </border>
    <border>
      <left/>
      <right/>
      <top style="thin">
        <color indexed="64"/>
      </top>
      <bottom style="hair">
        <color indexed="64"/>
      </bottom>
      <diagonal/>
    </border>
    <border>
      <left/>
      <right/>
      <top style="hair">
        <color indexed="64"/>
      </top>
      <bottom style="hair">
        <color indexed="64"/>
      </bottom>
      <diagonal/>
    </border>
    <border>
      <left/>
      <right/>
      <top style="thin">
        <color indexed="64"/>
      </top>
      <bottom style="double">
        <color indexed="64"/>
      </bottom>
      <diagonal/>
    </border>
    <border>
      <left/>
      <right/>
      <top style="double">
        <color indexed="64"/>
      </top>
      <bottom style="double">
        <color indexed="64"/>
      </bottom>
      <diagonal/>
    </border>
    <border>
      <left/>
      <right/>
      <top/>
      <bottom style="hair">
        <color indexed="64"/>
      </bottom>
      <diagonal/>
    </border>
    <border>
      <left/>
      <right/>
      <top style="thin">
        <color indexed="64"/>
      </top>
      <bottom style="thin">
        <color indexed="64"/>
      </bottom>
      <diagonal/>
    </border>
    <border>
      <left/>
      <right/>
      <top style="medium">
        <color indexed="64"/>
      </top>
      <bottom style="hair">
        <color indexed="64"/>
      </bottom>
      <diagonal/>
    </border>
    <border>
      <left/>
      <right/>
      <top style="thin">
        <color indexed="64"/>
      </top>
      <bottom/>
      <diagonal/>
    </border>
    <border>
      <left/>
      <right/>
      <top style="medium">
        <color indexed="64"/>
      </top>
      <bottom style="double">
        <color indexed="64"/>
      </bottom>
      <diagonal/>
    </border>
    <border>
      <left/>
      <right/>
      <top style="hair">
        <color indexed="8"/>
      </top>
      <bottom style="hair">
        <color indexed="8"/>
      </bottom>
      <diagonal/>
    </border>
    <border>
      <left/>
      <right/>
      <top style="hair">
        <color indexed="8"/>
      </top>
      <bottom/>
      <diagonal/>
    </border>
    <border>
      <left style="medium">
        <color indexed="64"/>
      </left>
      <right/>
      <top style="medium">
        <color indexed="64"/>
      </top>
      <bottom style="hair">
        <color indexed="64"/>
      </bottom>
      <diagonal/>
    </border>
    <border>
      <left/>
      <right style="medium">
        <color indexed="64"/>
      </right>
      <top style="medium">
        <color indexed="64"/>
      </top>
      <bottom/>
      <diagonal/>
    </border>
    <border>
      <left style="medium">
        <color indexed="64"/>
      </left>
      <right/>
      <top/>
      <bottom style="hair">
        <color indexed="64"/>
      </bottom>
      <diagonal/>
    </border>
    <border>
      <left/>
      <right style="medium">
        <color indexed="64"/>
      </right>
      <top/>
      <bottom style="hair">
        <color indexed="64"/>
      </bottom>
      <diagonal/>
    </border>
    <border>
      <left style="medium">
        <color indexed="64"/>
      </left>
      <right/>
      <top style="hair">
        <color indexed="64"/>
      </top>
      <bottom style="hair">
        <color indexed="64"/>
      </bottom>
      <diagonal/>
    </border>
    <border>
      <left/>
      <right style="medium">
        <color indexed="64"/>
      </right>
      <top style="hair">
        <color indexed="64"/>
      </top>
      <bottom style="hair">
        <color indexed="64"/>
      </bottom>
      <diagonal/>
    </border>
    <border>
      <left style="medium">
        <color indexed="64"/>
      </left>
      <right/>
      <top style="hair">
        <color indexed="64"/>
      </top>
      <bottom style="medium">
        <color indexed="64"/>
      </bottom>
      <diagonal/>
    </border>
    <border>
      <left/>
      <right/>
      <top style="hair">
        <color indexed="64"/>
      </top>
      <bottom style="medium">
        <color indexed="64"/>
      </bottom>
      <diagonal/>
    </border>
    <border>
      <left/>
      <right style="medium">
        <color indexed="64"/>
      </right>
      <top/>
      <bottom style="medium">
        <color indexed="64"/>
      </bottom>
      <diagonal/>
    </border>
    <border>
      <left style="medium">
        <color indexed="64"/>
      </left>
      <right/>
      <top style="medium">
        <color indexed="64"/>
      </top>
      <bottom/>
      <diagonal/>
    </border>
    <border>
      <left/>
      <right/>
      <top style="medium">
        <color indexed="64"/>
      </top>
      <bottom/>
      <diagonal/>
    </border>
    <border>
      <left style="medium">
        <color indexed="64"/>
      </left>
      <right/>
      <top/>
      <bottom style="thin">
        <color indexed="64"/>
      </bottom>
      <diagonal/>
    </border>
    <border>
      <left/>
      <right style="medium">
        <color indexed="64"/>
      </right>
      <top/>
      <bottom style="thin">
        <color indexed="64"/>
      </bottom>
      <diagonal/>
    </border>
    <border>
      <left/>
      <right style="medium">
        <color indexed="64"/>
      </right>
      <top style="medium">
        <color indexed="64"/>
      </top>
      <bottom style="hair">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bottom style="hair">
        <color indexed="8"/>
      </bottom>
      <diagonal/>
    </border>
    <border>
      <left/>
      <right/>
      <top/>
      <bottom style="hair">
        <color indexed="8"/>
      </bottom>
      <diagonal/>
    </border>
    <border>
      <left/>
      <right style="medium">
        <color indexed="64"/>
      </right>
      <top/>
      <bottom style="hair">
        <color indexed="8"/>
      </bottom>
      <diagonal/>
    </border>
    <border>
      <left style="medium">
        <color indexed="64"/>
      </left>
      <right/>
      <top/>
      <bottom style="thin">
        <color indexed="8"/>
      </bottom>
      <diagonal/>
    </border>
    <border>
      <left/>
      <right style="medium">
        <color indexed="64"/>
      </right>
      <top/>
      <bottom style="thin">
        <color indexed="8"/>
      </bottom>
      <diagonal/>
    </border>
    <border>
      <left/>
      <right style="medium">
        <color indexed="64"/>
      </right>
      <top style="hair">
        <color indexed="8"/>
      </top>
      <bottom style="hair">
        <color indexed="8"/>
      </bottom>
      <diagonal/>
    </border>
    <border>
      <left style="medium">
        <color indexed="64"/>
      </left>
      <right/>
      <top style="thin">
        <color indexed="8"/>
      </top>
      <bottom style="hair">
        <color indexed="8"/>
      </bottom>
      <diagonal/>
    </border>
    <border>
      <left/>
      <right style="medium">
        <color indexed="64"/>
      </right>
      <top style="thin">
        <color indexed="8"/>
      </top>
      <bottom style="hair">
        <color indexed="8"/>
      </bottom>
      <diagonal/>
    </border>
    <border>
      <left style="medium">
        <color indexed="64"/>
      </left>
      <right/>
      <top style="hair">
        <color indexed="8"/>
      </top>
      <bottom style="hair">
        <color indexed="8"/>
      </bottom>
      <diagonal/>
    </border>
    <border>
      <left style="medium">
        <color indexed="64"/>
      </left>
      <right/>
      <top/>
      <bottom/>
      <diagonal/>
    </border>
    <border>
      <left/>
      <right style="medium">
        <color indexed="64"/>
      </right>
      <top/>
      <bottom/>
      <diagonal/>
    </border>
    <border>
      <left/>
      <right style="medium">
        <color indexed="64"/>
      </right>
      <top style="thin">
        <color indexed="64"/>
      </top>
      <bottom style="double">
        <color indexed="64"/>
      </bottom>
      <diagonal/>
    </border>
    <border>
      <left style="medium">
        <color indexed="64"/>
      </left>
      <right/>
      <top style="hair">
        <color indexed="8"/>
      </top>
      <bottom style="hair">
        <color indexed="64"/>
      </bottom>
      <diagonal/>
    </border>
    <border>
      <left/>
      <right/>
      <top style="hair">
        <color indexed="8"/>
      </top>
      <bottom style="hair">
        <color indexed="64"/>
      </bottom>
      <diagonal/>
    </border>
    <border>
      <left/>
      <right style="medium">
        <color indexed="64"/>
      </right>
      <top style="hair">
        <color indexed="8"/>
      </top>
      <bottom style="hair">
        <color indexed="64"/>
      </bottom>
      <diagonal/>
    </border>
    <border>
      <left style="medium">
        <color indexed="64"/>
      </left>
      <right/>
      <top style="thin">
        <color indexed="64"/>
      </top>
      <bottom style="double">
        <color indexed="64"/>
      </bottom>
      <diagonal/>
    </border>
    <border>
      <left style="medium">
        <color indexed="64"/>
      </left>
      <right/>
      <top/>
      <bottom style="medium">
        <color indexed="64"/>
      </bottom>
      <diagonal/>
    </border>
    <border>
      <left/>
      <right/>
      <top/>
      <bottom style="double">
        <color indexed="64"/>
      </bottom>
      <diagonal/>
    </border>
    <border>
      <left/>
      <right/>
      <top style="thin">
        <color indexed="64"/>
      </top>
      <bottom style="hair">
        <color indexed="8"/>
      </bottom>
      <diagonal/>
    </border>
    <border>
      <left style="thin">
        <color indexed="64"/>
      </left>
      <right style="thin">
        <color indexed="64"/>
      </right>
      <top style="thin">
        <color indexed="64"/>
      </top>
      <bottom style="thin">
        <color indexed="64"/>
      </bottom>
      <diagonal/>
    </border>
    <border>
      <left/>
      <right/>
      <top/>
      <bottom style="thin">
        <color indexed="8"/>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style="hair">
        <color indexed="64"/>
      </top>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s>
  <cellStyleXfs count="6">
    <xf numFmtId="0" fontId="0" fillId="0" borderId="0"/>
    <xf numFmtId="43" fontId="9" fillId="0" borderId="0" applyFont="0" applyFill="0" applyBorder="0" applyAlignment="0" applyProtection="0"/>
    <xf numFmtId="44" fontId="9" fillId="0" borderId="0" applyFont="0" applyFill="0" applyBorder="0" applyAlignment="0" applyProtection="0"/>
    <xf numFmtId="9" fontId="9" fillId="0" borderId="0" applyFont="0" applyFill="0" applyBorder="0" applyAlignment="0" applyProtection="0"/>
    <xf numFmtId="164" fontId="5" fillId="0" borderId="0"/>
    <xf numFmtId="183" fontId="2" fillId="0" borderId="0"/>
  </cellStyleXfs>
  <cellXfs count="591">
    <xf numFmtId="0" fontId="0" fillId="0" borderId="0" xfId="0"/>
    <xf numFmtId="164" fontId="1" fillId="0" borderId="1" xfId="0" applyNumberFormat="1" applyFont="1" applyBorder="1" applyAlignment="1">
      <alignment horizontal="left"/>
    </xf>
    <xf numFmtId="0" fontId="2" fillId="0" borderId="1" xfId="0" applyFont="1" applyBorder="1"/>
    <xf numFmtId="0" fontId="3" fillId="0" borderId="1" xfId="0" applyFont="1" applyBorder="1"/>
    <xf numFmtId="164" fontId="4" fillId="0" borderId="0" xfId="0" applyNumberFormat="1" applyFont="1"/>
    <xf numFmtId="15" fontId="4" fillId="0" borderId="0" xfId="0" applyNumberFormat="1" applyFont="1" applyAlignment="1">
      <alignment horizontal="center"/>
    </xf>
    <xf numFmtId="164" fontId="5" fillId="0" borderId="1" xfId="0" applyNumberFormat="1" applyFont="1" applyBorder="1" applyAlignment="1">
      <alignment horizontal="right"/>
    </xf>
    <xf numFmtId="0" fontId="2" fillId="0" borderId="0" xfId="0" applyFont="1"/>
    <xf numFmtId="0" fontId="6" fillId="0" borderId="0" xfId="0" applyFont="1"/>
    <xf numFmtId="3" fontId="7" fillId="0" borderId="2" xfId="0" applyNumberFormat="1" applyFont="1" applyBorder="1" applyAlignment="1">
      <alignment horizontal="left"/>
    </xf>
    <xf numFmtId="0" fontId="2" fillId="0" borderId="2" xfId="0" applyFont="1" applyBorder="1"/>
    <xf numFmtId="164" fontId="4" fillId="0" borderId="2" xfId="0" applyNumberFormat="1" applyFont="1" applyBorder="1"/>
    <xf numFmtId="164" fontId="4" fillId="0" borderId="2" xfId="0" applyNumberFormat="1" applyFont="1" applyBorder="1" applyAlignment="1">
      <alignment horizontal="left"/>
    </xf>
    <xf numFmtId="164" fontId="4" fillId="0" borderId="2" xfId="0" applyNumberFormat="1" applyFont="1" applyBorder="1" applyAlignment="1">
      <alignment horizontal="right"/>
    </xf>
    <xf numFmtId="165" fontId="4" fillId="0" borderId="2" xfId="0" applyNumberFormat="1" applyFont="1" applyBorder="1" applyAlignment="1">
      <alignment horizontal="center" shrinkToFit="1"/>
    </xf>
    <xf numFmtId="166" fontId="4" fillId="0" borderId="2" xfId="0" applyNumberFormat="1" applyFont="1" applyBorder="1" applyAlignment="1">
      <alignment horizontal="center" shrinkToFit="1"/>
    </xf>
    <xf numFmtId="164" fontId="2" fillId="0" borderId="0" xfId="0" applyNumberFormat="1" applyFont="1"/>
    <xf numFmtId="164" fontId="5" fillId="0" borderId="3" xfId="0" applyNumberFormat="1" applyFont="1" applyBorder="1" applyAlignment="1">
      <alignment horizontal="left"/>
    </xf>
    <xf numFmtId="164" fontId="4" fillId="0" borderId="3" xfId="0" applyNumberFormat="1" applyFont="1" applyBorder="1" applyAlignment="1">
      <alignment horizontal="centerContinuous"/>
    </xf>
    <xf numFmtId="164" fontId="4" fillId="0" borderId="3" xfId="0" applyNumberFormat="1" applyFont="1" applyBorder="1"/>
    <xf numFmtId="164" fontId="8" fillId="0" borderId="3" xfId="0" applyNumberFormat="1" applyFont="1" applyBorder="1"/>
    <xf numFmtId="0" fontId="5" fillId="0" borderId="3" xfId="0" applyFont="1" applyBorder="1"/>
    <xf numFmtId="164" fontId="4" fillId="0" borderId="4" xfId="0" applyNumberFormat="1" applyFont="1" applyBorder="1"/>
    <xf numFmtId="164" fontId="4" fillId="0" borderId="5" xfId="0" applyNumberFormat="1" applyFont="1" applyBorder="1" applyAlignment="1">
      <alignment horizontal="left"/>
    </xf>
    <xf numFmtId="165" fontId="4" fillId="2" borderId="5" xfId="0" applyNumberFormat="1" applyFont="1" applyFill="1" applyBorder="1" applyAlignment="1">
      <alignment horizontal="right"/>
    </xf>
    <xf numFmtId="41" fontId="4" fillId="0" borderId="0" xfId="1" applyNumberFormat="1" applyFont="1" applyFill="1" applyBorder="1" applyProtection="1"/>
    <xf numFmtId="41" fontId="4" fillId="0" borderId="0" xfId="1" applyNumberFormat="1" applyFont="1" applyFill="1" applyBorder="1" applyAlignment="1" applyProtection="1"/>
    <xf numFmtId="164" fontId="4" fillId="0" borderId="5" xfId="0" applyNumberFormat="1" applyFont="1" applyBorder="1"/>
    <xf numFmtId="164" fontId="4" fillId="2" borderId="5" xfId="0" applyNumberFormat="1" applyFont="1" applyFill="1" applyBorder="1" applyAlignment="1">
      <alignment horizontal="left"/>
    </xf>
    <xf numFmtId="165" fontId="4" fillId="0" borderId="5" xfId="0" applyNumberFormat="1" applyFont="1" applyBorder="1" applyAlignment="1">
      <alignment horizontal="right"/>
    </xf>
    <xf numFmtId="1" fontId="4" fillId="0" borderId="5" xfId="0" applyNumberFormat="1" applyFont="1" applyBorder="1" applyAlignment="1">
      <alignment horizontal="right"/>
    </xf>
    <xf numFmtId="3" fontId="4" fillId="0" borderId="5" xfId="0" applyNumberFormat="1" applyFont="1" applyBorder="1" applyAlignment="1">
      <alignment horizontal="center"/>
    </xf>
    <xf numFmtId="164" fontId="4" fillId="0" borderId="5" xfId="0" applyNumberFormat="1" applyFont="1" applyBorder="1" applyAlignment="1">
      <alignment horizontal="center"/>
    </xf>
    <xf numFmtId="41" fontId="4" fillId="0" borderId="6" xfId="1" applyNumberFormat="1" applyFont="1" applyFill="1" applyBorder="1" applyAlignment="1" applyProtection="1"/>
    <xf numFmtId="164" fontId="4" fillId="0" borderId="0" xfId="0" applyNumberFormat="1" applyFont="1" applyAlignment="1">
      <alignment horizontal="right"/>
    </xf>
    <xf numFmtId="41" fontId="4" fillId="0" borderId="6" xfId="1" applyNumberFormat="1" applyFont="1" applyFill="1" applyBorder="1" applyProtection="1"/>
    <xf numFmtId="41" fontId="4" fillId="0" borderId="5" xfId="0" applyNumberFormat="1" applyFont="1" applyBorder="1" applyAlignment="1">
      <alignment horizontal="center"/>
    </xf>
    <xf numFmtId="41" fontId="4" fillId="0" borderId="7" xfId="1" applyNumberFormat="1" applyFont="1" applyFill="1" applyBorder="1" applyProtection="1"/>
    <xf numFmtId="164" fontId="4" fillId="0" borderId="0" xfId="0" applyNumberFormat="1" applyFont="1" applyAlignment="1">
      <alignment horizontal="center"/>
    </xf>
    <xf numFmtId="43" fontId="4" fillId="0" borderId="0" xfId="1" applyFont="1" applyFill="1" applyBorder="1" applyAlignment="1" applyProtection="1"/>
    <xf numFmtId="0" fontId="4" fillId="0" borderId="0" xfId="0" applyFont="1" applyAlignment="1">
      <alignment horizontal="center"/>
    </xf>
    <xf numFmtId="164" fontId="4" fillId="0" borderId="8" xfId="0" applyNumberFormat="1" applyFont="1" applyBorder="1"/>
    <xf numFmtId="10" fontId="4" fillId="0" borderId="0" xfId="0" applyNumberFormat="1" applyFont="1"/>
    <xf numFmtId="14" fontId="4" fillId="0" borderId="5" xfId="0" applyNumberFormat="1" applyFont="1" applyBorder="1" applyAlignment="1">
      <alignment horizontal="left"/>
    </xf>
    <xf numFmtId="167" fontId="4" fillId="0" borderId="8" xfId="0" applyNumberFormat="1" applyFont="1" applyBorder="1" applyAlignment="1">
      <alignment horizontal="center"/>
    </xf>
    <xf numFmtId="164" fontId="4" fillId="0" borderId="0" xfId="0" applyNumberFormat="1" applyFont="1" applyAlignment="1">
      <alignment horizontal="left"/>
    </xf>
    <xf numFmtId="14" fontId="4" fillId="0" borderId="0" xfId="0" applyNumberFormat="1" applyFont="1" applyAlignment="1">
      <alignment horizontal="right"/>
    </xf>
    <xf numFmtId="0" fontId="4" fillId="0" borderId="0" xfId="0" applyFont="1"/>
    <xf numFmtId="0" fontId="2" fillId="0" borderId="3" xfId="0" applyFont="1" applyBorder="1"/>
    <xf numFmtId="10" fontId="4" fillId="0" borderId="3" xfId="0" applyNumberFormat="1" applyFont="1" applyBorder="1"/>
    <xf numFmtId="167" fontId="4" fillId="0" borderId="0" xfId="0" applyNumberFormat="1" applyFont="1" applyAlignment="1">
      <alignment horizontal="center"/>
    </xf>
    <xf numFmtId="10" fontId="4" fillId="0" borderId="9" xfId="0" applyNumberFormat="1" applyFont="1" applyBorder="1"/>
    <xf numFmtId="10" fontId="4" fillId="0" borderId="0" xfId="0" applyNumberFormat="1" applyFont="1" applyAlignment="1">
      <alignment horizontal="center"/>
    </xf>
    <xf numFmtId="0" fontId="2" fillId="0" borderId="0" xfId="0" applyFont="1" applyAlignment="1">
      <alignment horizontal="center"/>
    </xf>
    <xf numFmtId="167" fontId="4" fillId="0" borderId="10" xfId="0" applyNumberFormat="1" applyFont="1" applyBorder="1" applyAlignment="1">
      <alignment horizontal="center"/>
    </xf>
    <xf numFmtId="10" fontId="4" fillId="0" borderId="3" xfId="0" applyNumberFormat="1" applyFont="1" applyBorder="1" applyAlignment="1">
      <alignment horizontal="center"/>
    </xf>
    <xf numFmtId="10" fontId="4" fillId="0" borderId="8" xfId="0" applyNumberFormat="1" applyFont="1" applyBorder="1"/>
    <xf numFmtId="10" fontId="4" fillId="0" borderId="8" xfId="0" applyNumberFormat="1" applyFont="1" applyBorder="1" applyAlignment="1">
      <alignment horizontal="center"/>
    </xf>
    <xf numFmtId="168" fontId="4" fillId="0" borderId="8" xfId="0" applyNumberFormat="1" applyFont="1" applyBorder="1" applyAlignment="1">
      <alignment horizontal="center"/>
    </xf>
    <xf numFmtId="10" fontId="4" fillId="0" borderId="5" xfId="0" applyNumberFormat="1" applyFont="1" applyBorder="1"/>
    <xf numFmtId="10" fontId="4" fillId="0" borderId="5" xfId="0" applyNumberFormat="1" applyFont="1" applyBorder="1" applyAlignment="1">
      <alignment horizontal="center"/>
    </xf>
    <xf numFmtId="168" fontId="4" fillId="0" borderId="5" xfId="0" applyNumberFormat="1" applyFont="1" applyBorder="1" applyAlignment="1">
      <alignment horizontal="center"/>
    </xf>
    <xf numFmtId="168" fontId="4" fillId="0" borderId="0" xfId="0" applyNumberFormat="1" applyFont="1"/>
    <xf numFmtId="168" fontId="2" fillId="0" borderId="0" xfId="0" applyNumberFormat="1" applyFont="1"/>
    <xf numFmtId="168" fontId="4" fillId="0" borderId="0" xfId="0" applyNumberFormat="1" applyFont="1" applyAlignment="1">
      <alignment horizontal="center"/>
    </xf>
    <xf numFmtId="168" fontId="4" fillId="0" borderId="6" xfId="0" applyNumberFormat="1" applyFont="1" applyBorder="1" applyAlignment="1">
      <alignment horizontal="center"/>
    </xf>
    <xf numFmtId="164" fontId="10" fillId="0" borderId="3" xfId="0" applyNumberFormat="1" applyFont="1" applyBorder="1" applyAlignment="1">
      <alignment horizontal="center" wrapText="1"/>
    </xf>
    <xf numFmtId="164" fontId="10" fillId="0" borderId="11" xfId="0" applyNumberFormat="1" applyFont="1" applyBorder="1" applyAlignment="1">
      <alignment horizontal="center" wrapText="1"/>
    </xf>
    <xf numFmtId="164" fontId="8" fillId="0" borderId="0" xfId="0" applyNumberFormat="1" applyFont="1"/>
    <xf numFmtId="164" fontId="4" fillId="0" borderId="5" xfId="0" applyNumberFormat="1" applyFont="1" applyBorder="1" applyAlignment="1">
      <alignment shrinkToFit="1"/>
    </xf>
    <xf numFmtId="41" fontId="4" fillId="0" borderId="5" xfId="0" applyNumberFormat="1" applyFont="1" applyBorder="1" applyAlignment="1">
      <alignment shrinkToFit="1"/>
    </xf>
    <xf numFmtId="167" fontId="4" fillId="0" borderId="5" xfId="0" applyNumberFormat="1" applyFont="1" applyBorder="1" applyAlignment="1">
      <alignment horizontal="center" shrinkToFit="1"/>
    </xf>
    <xf numFmtId="49" fontId="4" fillId="0" borderId="5" xfId="0" applyNumberFormat="1" applyFont="1" applyBorder="1" applyAlignment="1">
      <alignment horizontal="center" shrinkToFit="1"/>
    </xf>
    <xf numFmtId="1" fontId="4" fillId="0" borderId="5" xfId="0" applyNumberFormat="1" applyFont="1" applyBorder="1" applyAlignment="1">
      <alignment horizontal="center" shrinkToFit="1"/>
    </xf>
    <xf numFmtId="167" fontId="4" fillId="0" borderId="12" xfId="0" applyNumberFormat="1" applyFont="1" applyBorder="1" applyAlignment="1">
      <alignment horizontal="center"/>
    </xf>
    <xf numFmtId="164" fontId="4" fillId="0" borderId="13" xfId="0" applyNumberFormat="1" applyFont="1" applyBorder="1"/>
    <xf numFmtId="42" fontId="4" fillId="0" borderId="13" xfId="2" applyNumberFormat="1" applyFont="1" applyFill="1" applyBorder="1" applyAlignment="1" applyProtection="1"/>
    <xf numFmtId="169" fontId="4" fillId="0" borderId="13" xfId="0" applyNumberFormat="1" applyFont="1" applyBorder="1" applyAlignment="1">
      <alignment horizontal="center"/>
    </xf>
    <xf numFmtId="41" fontId="4" fillId="0" borderId="13" xfId="1" applyNumberFormat="1" applyFont="1" applyFill="1" applyBorder="1" applyAlignment="1" applyProtection="1"/>
    <xf numFmtId="167" fontId="4" fillId="0" borderId="5" xfId="0" applyNumberFormat="1" applyFont="1" applyBorder="1" applyAlignment="1">
      <alignment shrinkToFit="1"/>
    </xf>
    <xf numFmtId="49" fontId="4" fillId="0" borderId="5" xfId="0" applyNumberFormat="1" applyFont="1" applyBorder="1" applyAlignment="1">
      <alignment shrinkToFit="1"/>
    </xf>
    <xf numFmtId="1" fontId="4" fillId="0" borderId="5" xfId="0" applyNumberFormat="1" applyFont="1" applyBorder="1" applyAlignment="1">
      <alignment shrinkToFit="1"/>
    </xf>
    <xf numFmtId="164" fontId="2" fillId="0" borderId="13" xfId="0" applyNumberFormat="1" applyFont="1" applyBorder="1"/>
    <xf numFmtId="41" fontId="4" fillId="0" borderId="14" xfId="1" applyNumberFormat="1" applyFont="1" applyFill="1" applyBorder="1" applyAlignment="1" applyProtection="1"/>
    <xf numFmtId="164" fontId="4" fillId="0" borderId="14" xfId="0" applyNumberFormat="1" applyFont="1" applyBorder="1" applyAlignment="1">
      <alignment horizontal="left"/>
    </xf>
    <xf numFmtId="164" fontId="4" fillId="0" borderId="14" xfId="0" applyNumberFormat="1" applyFont="1" applyBorder="1"/>
    <xf numFmtId="164" fontId="8" fillId="0" borderId="14" xfId="0" applyNumberFormat="1" applyFont="1" applyBorder="1"/>
    <xf numFmtId="42" fontId="4" fillId="0" borderId="6" xfId="2" applyNumberFormat="1" applyFont="1" applyFill="1" applyBorder="1" applyAlignment="1" applyProtection="1"/>
    <xf numFmtId="164" fontId="10" fillId="0" borderId="0" xfId="0" applyNumberFormat="1" applyFont="1"/>
    <xf numFmtId="164" fontId="10" fillId="0" borderId="0" xfId="0" applyNumberFormat="1" applyFont="1" applyAlignment="1">
      <alignment horizontal="center"/>
    </xf>
    <xf numFmtId="170" fontId="4" fillId="0" borderId="0" xfId="1" applyNumberFormat="1" applyFont="1" applyFill="1" applyAlignment="1" applyProtection="1">
      <alignment horizontal="center"/>
    </xf>
    <xf numFmtId="164" fontId="10" fillId="0" borderId="8" xfId="0" applyNumberFormat="1" applyFont="1" applyBorder="1" applyAlignment="1">
      <alignment horizontal="center" wrapText="1"/>
    </xf>
    <xf numFmtId="164" fontId="4" fillId="0" borderId="8" xfId="0" applyNumberFormat="1" applyFont="1" applyBorder="1" applyAlignment="1">
      <alignment horizontal="center" wrapText="1"/>
    </xf>
    <xf numFmtId="164" fontId="4" fillId="0" borderId="15" xfId="0" applyNumberFormat="1" applyFont="1" applyBorder="1" applyAlignment="1">
      <alignment horizontal="center" wrapText="1"/>
    </xf>
    <xf numFmtId="164" fontId="4" fillId="0" borderId="10" xfId="0" applyNumberFormat="1" applyFont="1" applyBorder="1" applyAlignment="1">
      <alignment horizontal="center" wrapText="1"/>
    </xf>
    <xf numFmtId="0" fontId="2" fillId="0" borderId="16" xfId="0" applyFont="1" applyBorder="1"/>
    <xf numFmtId="164" fontId="4" fillId="0" borderId="0" xfId="0" applyNumberFormat="1" applyFont="1" applyAlignment="1">
      <alignment horizontal="center" wrapText="1"/>
    </xf>
    <xf numFmtId="3" fontId="4" fillId="0" borderId="8" xfId="0" applyNumberFormat="1" applyFont="1" applyBorder="1" applyAlignment="1">
      <alignment horizontal="center"/>
    </xf>
    <xf numFmtId="41" fontId="4" fillId="0" borderId="8" xfId="0" applyNumberFormat="1" applyFont="1" applyBorder="1"/>
    <xf numFmtId="1" fontId="4" fillId="0" borderId="8" xfId="0" applyNumberFormat="1" applyFont="1" applyBorder="1" applyAlignment="1">
      <alignment horizontal="center"/>
    </xf>
    <xf numFmtId="2" fontId="4" fillId="0" borderId="8" xfId="0" applyNumberFormat="1" applyFont="1" applyBorder="1" applyAlignment="1">
      <alignment horizontal="center"/>
    </xf>
    <xf numFmtId="164" fontId="4" fillId="0" borderId="8" xfId="0" applyNumberFormat="1" applyFont="1" applyBorder="1" applyAlignment="1">
      <alignment horizontal="center" shrinkToFit="1"/>
    </xf>
    <xf numFmtId="9" fontId="4" fillId="0" borderId="8" xfId="0" applyNumberFormat="1" applyFont="1" applyBorder="1" applyAlignment="1">
      <alignment horizontal="center"/>
    </xf>
    <xf numFmtId="165" fontId="4" fillId="0" borderId="8" xfId="0" applyNumberFormat="1" applyFont="1" applyBorder="1" applyAlignment="1">
      <alignment horizontal="center"/>
    </xf>
    <xf numFmtId="41" fontId="4" fillId="0" borderId="8" xfId="1" applyNumberFormat="1" applyFont="1" applyFill="1" applyBorder="1" applyAlignment="1" applyProtection="1">
      <alignment horizontal="center"/>
    </xf>
    <xf numFmtId="165" fontId="4" fillId="3" borderId="8" xfId="0" applyNumberFormat="1" applyFont="1" applyFill="1" applyBorder="1" applyAlignment="1">
      <alignment horizontal="center"/>
    </xf>
    <xf numFmtId="171" fontId="8" fillId="4" borderId="8" xfId="1" applyNumberFormat="1" applyFont="1" applyFill="1" applyBorder="1" applyAlignment="1" applyProtection="1"/>
    <xf numFmtId="171" fontId="4" fillId="0" borderId="8" xfId="1" applyNumberFormat="1" applyFont="1" applyFill="1" applyBorder="1" applyAlignment="1" applyProtection="1">
      <alignment horizontal="left"/>
    </xf>
    <xf numFmtId="41" fontId="4" fillId="5" borderId="8" xfId="1" applyNumberFormat="1" applyFont="1" applyFill="1" applyBorder="1" applyAlignment="1" applyProtection="1">
      <alignment horizontal="center"/>
    </xf>
    <xf numFmtId="41" fontId="4" fillId="0" borderId="17" xfId="1" applyNumberFormat="1" applyFont="1" applyFill="1" applyBorder="1" applyAlignment="1" applyProtection="1">
      <alignment horizontal="center"/>
    </xf>
    <xf numFmtId="41" fontId="4" fillId="0" borderId="18" xfId="1" applyNumberFormat="1" applyFont="1" applyFill="1" applyBorder="1" applyAlignment="1" applyProtection="1"/>
    <xf numFmtId="3" fontId="4" fillId="0" borderId="5" xfId="0" applyNumberFormat="1" applyFont="1" applyBorder="1"/>
    <xf numFmtId="41" fontId="4" fillId="0" borderId="5" xfId="0" applyNumberFormat="1" applyFont="1" applyBorder="1"/>
    <xf numFmtId="167" fontId="4" fillId="0" borderId="5" xfId="0" applyNumberFormat="1" applyFont="1" applyBorder="1" applyAlignment="1">
      <alignment horizontal="center"/>
    </xf>
    <xf numFmtId="1" fontId="4" fillId="0" borderId="5" xfId="0" applyNumberFormat="1" applyFont="1" applyBorder="1" applyAlignment="1">
      <alignment horizontal="center"/>
    </xf>
    <xf numFmtId="2" fontId="4" fillId="0" borderId="5" xfId="0" applyNumberFormat="1" applyFont="1" applyBorder="1" applyAlignment="1">
      <alignment horizontal="center"/>
    </xf>
    <xf numFmtId="164" fontId="4" fillId="0" borderId="5" xfId="0" applyNumberFormat="1" applyFont="1" applyBorder="1" applyAlignment="1">
      <alignment horizontal="center" shrinkToFit="1"/>
    </xf>
    <xf numFmtId="9" fontId="4" fillId="0" borderId="5" xfId="0" applyNumberFormat="1" applyFont="1" applyBorder="1" applyAlignment="1">
      <alignment horizontal="center"/>
    </xf>
    <xf numFmtId="165" fontId="4" fillId="0" borderId="5" xfId="0" applyNumberFormat="1" applyFont="1" applyBorder="1" applyAlignment="1">
      <alignment horizontal="center"/>
    </xf>
    <xf numFmtId="41" fontId="4" fillId="0" borderId="5" xfId="1" applyNumberFormat="1" applyFont="1" applyFill="1" applyBorder="1" applyAlignment="1" applyProtection="1">
      <alignment horizontal="center"/>
    </xf>
    <xf numFmtId="165" fontId="4" fillId="3" borderId="5" xfId="0" applyNumberFormat="1" applyFont="1" applyFill="1" applyBorder="1" applyAlignment="1">
      <alignment horizontal="center"/>
    </xf>
    <xf numFmtId="171" fontId="8" fillId="4" borderId="5" xfId="1" applyNumberFormat="1" applyFont="1" applyFill="1" applyBorder="1" applyAlignment="1" applyProtection="1"/>
    <xf numFmtId="171" fontId="4" fillId="0" borderId="5" xfId="1" applyNumberFormat="1" applyFont="1" applyFill="1" applyBorder="1" applyAlignment="1" applyProtection="1">
      <alignment horizontal="left"/>
    </xf>
    <xf numFmtId="41" fontId="4" fillId="5" borderId="5" xfId="1" applyNumberFormat="1" applyFont="1" applyFill="1" applyBorder="1" applyAlignment="1" applyProtection="1">
      <alignment horizontal="center"/>
    </xf>
    <xf numFmtId="41" fontId="4" fillId="0" borderId="19" xfId="1" applyNumberFormat="1" applyFont="1" applyFill="1" applyBorder="1" applyAlignment="1" applyProtection="1">
      <alignment horizontal="center"/>
    </xf>
    <xf numFmtId="41" fontId="4" fillId="0" borderId="20" xfId="1" applyNumberFormat="1" applyFont="1" applyFill="1" applyBorder="1" applyAlignment="1" applyProtection="1"/>
    <xf numFmtId="17" fontId="4" fillId="0" borderId="0" xfId="0" applyNumberFormat="1" applyFont="1"/>
    <xf numFmtId="172" fontId="8" fillId="0" borderId="0" xfId="0" applyNumberFormat="1" applyFont="1"/>
    <xf numFmtId="41" fontId="2" fillId="0" borderId="0" xfId="0" applyNumberFormat="1" applyFont="1"/>
    <xf numFmtId="41" fontId="4" fillId="0" borderId="21" xfId="1" applyNumberFormat="1" applyFont="1" applyFill="1" applyBorder="1" applyAlignment="1" applyProtection="1">
      <alignment horizontal="center"/>
    </xf>
    <xf numFmtId="41" fontId="4" fillId="0" borderId="22" xfId="1" applyNumberFormat="1" applyFont="1" applyFill="1" applyBorder="1" applyAlignment="1" applyProtection="1">
      <alignment horizontal="center"/>
    </xf>
    <xf numFmtId="0" fontId="2" fillId="0" borderId="23" xfId="0" applyFont="1" applyBorder="1"/>
    <xf numFmtId="0" fontId="2" fillId="6" borderId="0" xfId="0" applyFont="1" applyFill="1"/>
    <xf numFmtId="173" fontId="4" fillId="0" borderId="0" xfId="0" applyNumberFormat="1" applyFont="1"/>
    <xf numFmtId="174" fontId="4" fillId="0" borderId="0" xfId="0" applyNumberFormat="1" applyFont="1"/>
    <xf numFmtId="41" fontId="4" fillId="0" borderId="0" xfId="0" applyNumberFormat="1" applyFont="1"/>
    <xf numFmtId="43" fontId="4" fillId="0" borderId="0" xfId="0" applyNumberFormat="1" applyFont="1"/>
    <xf numFmtId="10" fontId="4" fillId="0" borderId="13" xfId="3" applyNumberFormat="1" applyFont="1" applyFill="1" applyBorder="1" applyAlignment="1" applyProtection="1"/>
    <xf numFmtId="41" fontId="4" fillId="0" borderId="13" xfId="1" applyNumberFormat="1" applyFont="1" applyFill="1" applyBorder="1" applyAlignment="1" applyProtection="1">
      <alignment shrinkToFit="1"/>
    </xf>
    <xf numFmtId="165" fontId="4" fillId="0" borderId="13" xfId="0" applyNumberFormat="1" applyFont="1" applyBorder="1"/>
    <xf numFmtId="41" fontId="4" fillId="0" borderId="6" xfId="1" applyNumberFormat="1" applyFont="1" applyFill="1" applyBorder="1" applyAlignment="1" applyProtection="1">
      <alignment shrinkToFit="1"/>
    </xf>
    <xf numFmtId="41" fontId="4" fillId="0" borderId="0" xfId="1" applyNumberFormat="1" applyFont="1" applyFill="1" applyBorder="1" applyAlignment="1" applyProtection="1">
      <alignment shrinkToFit="1"/>
    </xf>
    <xf numFmtId="41" fontId="2" fillId="0" borderId="3" xfId="0" applyNumberFormat="1" applyFont="1" applyBorder="1" applyAlignment="1">
      <alignment shrinkToFit="1"/>
    </xf>
    <xf numFmtId="10" fontId="4" fillId="0" borderId="0" xfId="3" applyNumberFormat="1" applyFont="1" applyFill="1" applyBorder="1" applyAlignment="1" applyProtection="1"/>
    <xf numFmtId="0" fontId="4" fillId="0" borderId="0" xfId="0" applyFont="1" applyAlignment="1">
      <alignment shrinkToFit="1"/>
    </xf>
    <xf numFmtId="41" fontId="2" fillId="0" borderId="0" xfId="0" applyNumberFormat="1" applyFont="1" applyAlignment="1">
      <alignment shrinkToFit="1"/>
    </xf>
    <xf numFmtId="164" fontId="4" fillId="0" borderId="1" xfId="0" applyNumberFormat="1" applyFont="1" applyBorder="1"/>
    <xf numFmtId="3" fontId="7" fillId="0" borderId="0" xfId="0" applyNumberFormat="1" applyFont="1" applyAlignment="1">
      <alignment horizontal="left"/>
    </xf>
    <xf numFmtId="0" fontId="2" fillId="0" borderId="24" xfId="0" applyFont="1" applyBorder="1"/>
    <xf numFmtId="0" fontId="2" fillId="0" borderId="25" xfId="0" applyFont="1" applyBorder="1"/>
    <xf numFmtId="164" fontId="5" fillId="0" borderId="0" xfId="4"/>
    <xf numFmtId="164" fontId="10" fillId="0" borderId="26" xfId="0" applyNumberFormat="1" applyFont="1" applyBorder="1"/>
    <xf numFmtId="14" fontId="10" fillId="0" borderId="3" xfId="0" applyNumberFormat="1" applyFont="1" applyBorder="1" applyAlignment="1">
      <alignment horizontal="center"/>
    </xf>
    <xf numFmtId="164" fontId="10" fillId="0" borderId="3" xfId="0" applyNumberFormat="1" applyFont="1" applyBorder="1" applyAlignment="1">
      <alignment horizontal="center"/>
    </xf>
    <xf numFmtId="164" fontId="10" fillId="0" borderId="27" xfId="0" applyNumberFormat="1" applyFont="1" applyBorder="1" applyAlignment="1">
      <alignment horizontal="center"/>
    </xf>
    <xf numFmtId="164" fontId="4" fillId="0" borderId="24" xfId="0" applyNumberFormat="1" applyFont="1" applyBorder="1"/>
    <xf numFmtId="164" fontId="4" fillId="0" borderId="10" xfId="0" applyNumberFormat="1" applyFont="1" applyBorder="1" applyAlignment="1">
      <alignment horizontal="centerContinuous"/>
    </xf>
    <xf numFmtId="164" fontId="4" fillId="0" borderId="28" xfId="0" applyNumberFormat="1" applyFont="1" applyBorder="1" applyAlignment="1">
      <alignment horizontal="centerContinuous"/>
    </xf>
    <xf numFmtId="164" fontId="4" fillId="0" borderId="29" xfId="0" applyNumberFormat="1" applyFont="1" applyBorder="1" applyAlignment="1">
      <alignment horizontal="centerContinuous"/>
    </xf>
    <xf numFmtId="164" fontId="4" fillId="0" borderId="30" xfId="0" applyNumberFormat="1" applyFont="1" applyBorder="1" applyAlignment="1">
      <alignment horizontal="centerContinuous"/>
    </xf>
    <xf numFmtId="41" fontId="4" fillId="0" borderId="31" xfId="0" applyNumberFormat="1" applyFont="1" applyBorder="1" applyAlignment="1">
      <alignment shrinkToFit="1"/>
    </xf>
    <xf numFmtId="165" fontId="4" fillId="0" borderId="32" xfId="0" applyNumberFormat="1" applyFont="1" applyBorder="1" applyAlignment="1">
      <alignment horizontal="center"/>
    </xf>
    <xf numFmtId="10" fontId="4" fillId="0" borderId="32" xfId="0" applyNumberFormat="1" applyFont="1" applyBorder="1"/>
    <xf numFmtId="42" fontId="4" fillId="0" borderId="33" xfId="1" applyNumberFormat="1" applyFont="1" applyBorder="1" applyAlignment="1" applyProtection="1"/>
    <xf numFmtId="164" fontId="10" fillId="0" borderId="26" xfId="0" applyNumberFormat="1" applyFont="1" applyBorder="1" applyAlignment="1">
      <alignment horizontal="center"/>
    </xf>
    <xf numFmtId="164" fontId="4" fillId="0" borderId="0" xfId="0" applyNumberFormat="1" applyFont="1" applyAlignment="1">
      <alignment horizontal="centerContinuous"/>
    </xf>
    <xf numFmtId="164" fontId="10" fillId="0" borderId="34" xfId="0" applyNumberFormat="1" applyFont="1" applyBorder="1" applyAlignment="1">
      <alignment horizontal="center"/>
    </xf>
    <xf numFmtId="164" fontId="10" fillId="0" borderId="35" xfId="0" applyNumberFormat="1" applyFont="1" applyBorder="1" applyAlignment="1">
      <alignment horizontal="center"/>
    </xf>
    <xf numFmtId="41" fontId="4" fillId="0" borderId="36" xfId="1" applyNumberFormat="1" applyFont="1" applyBorder="1" applyAlignment="1" applyProtection="1"/>
    <xf numFmtId="175" fontId="4" fillId="0" borderId="31" xfId="0" applyNumberFormat="1" applyFont="1" applyBorder="1" applyAlignment="1">
      <alignment horizontal="left"/>
    </xf>
    <xf numFmtId="1" fontId="4" fillId="0" borderId="32" xfId="0" applyNumberFormat="1" applyFont="1" applyBorder="1" applyAlignment="1">
      <alignment horizontal="center"/>
    </xf>
    <xf numFmtId="176" fontId="4" fillId="0" borderId="32" xfId="0" applyNumberFormat="1" applyFont="1" applyBorder="1" applyAlignment="1">
      <alignment horizontal="center"/>
    </xf>
    <xf numFmtId="1" fontId="4" fillId="0" borderId="13" xfId="0" applyNumberFormat="1" applyFont="1" applyBorder="1" applyAlignment="1">
      <alignment horizontal="center"/>
    </xf>
    <xf numFmtId="176" fontId="4" fillId="0" borderId="33" xfId="0" applyNumberFormat="1" applyFont="1" applyBorder="1" applyAlignment="1">
      <alignment horizontal="center"/>
    </xf>
    <xf numFmtId="1" fontId="4" fillId="0" borderId="37" xfId="0" applyNumberFormat="1" applyFont="1" applyBorder="1" applyAlignment="1">
      <alignment horizontal="center"/>
    </xf>
    <xf numFmtId="176" fontId="4" fillId="0" borderId="38" xfId="0" applyNumberFormat="1" applyFont="1" applyBorder="1" applyAlignment="1">
      <alignment horizontal="center"/>
    </xf>
    <xf numFmtId="175" fontId="4" fillId="0" borderId="39" xfId="0" applyNumberFormat="1" applyFont="1" applyBorder="1" applyAlignment="1">
      <alignment horizontal="left"/>
    </xf>
    <xf numFmtId="176" fontId="4" fillId="0" borderId="13" xfId="0" applyNumberFormat="1" applyFont="1" applyBorder="1" applyAlignment="1">
      <alignment horizontal="center"/>
    </xf>
    <xf numFmtId="176" fontId="4" fillId="0" borderId="36" xfId="0" applyNumberFormat="1" applyFont="1" applyBorder="1" applyAlignment="1">
      <alignment horizontal="center"/>
    </xf>
    <xf numFmtId="1" fontId="4" fillId="0" borderId="39" xfId="0" applyNumberFormat="1" applyFont="1" applyBorder="1" applyAlignment="1">
      <alignment horizontal="center"/>
    </xf>
    <xf numFmtId="164" fontId="4" fillId="0" borderId="40" xfId="0" applyNumberFormat="1" applyFont="1" applyBorder="1"/>
    <xf numFmtId="14" fontId="4" fillId="0" borderId="0" xfId="0" applyNumberFormat="1" applyFont="1" applyAlignment="1">
      <alignment horizontal="center"/>
    </xf>
    <xf numFmtId="41" fontId="4" fillId="0" borderId="41" xfId="0" applyNumberFormat="1" applyFont="1" applyBorder="1"/>
    <xf numFmtId="164" fontId="5" fillId="0" borderId="40" xfId="4" applyBorder="1"/>
    <xf numFmtId="10" fontId="2" fillId="0" borderId="0" xfId="0" applyNumberFormat="1" applyFont="1"/>
    <xf numFmtId="41" fontId="10" fillId="0" borderId="27" xfId="0" applyNumberFormat="1" applyFont="1" applyBorder="1" applyAlignment="1">
      <alignment horizontal="center"/>
    </xf>
    <xf numFmtId="49" fontId="4" fillId="0" borderId="31" xfId="0" applyNumberFormat="1" applyFont="1" applyBorder="1"/>
    <xf numFmtId="165" fontId="4" fillId="0" borderId="13" xfId="0" applyNumberFormat="1" applyFont="1" applyBorder="1" applyAlignment="1">
      <alignment horizontal="center"/>
    </xf>
    <xf numFmtId="164" fontId="8" fillId="0" borderId="40" xfId="0" applyNumberFormat="1" applyFont="1" applyBorder="1"/>
    <xf numFmtId="14" fontId="4" fillId="0" borderId="0" xfId="0" applyNumberFormat="1" applyFont="1"/>
    <xf numFmtId="42" fontId="8" fillId="0" borderId="42" xfId="2" applyNumberFormat="1" applyFont="1" applyBorder="1" applyAlignment="1" applyProtection="1"/>
    <xf numFmtId="164" fontId="8" fillId="0" borderId="0" xfId="0" applyNumberFormat="1" applyFont="1" applyAlignment="1">
      <alignment horizontal="center"/>
    </xf>
    <xf numFmtId="43" fontId="4" fillId="0" borderId="41" xfId="1" applyFont="1" applyBorder="1" applyAlignment="1" applyProtection="1"/>
    <xf numFmtId="164" fontId="4" fillId="0" borderId="26" xfId="0" applyNumberFormat="1" applyFont="1" applyBorder="1"/>
    <xf numFmtId="14" fontId="4" fillId="0" borderId="3" xfId="0" applyNumberFormat="1" applyFont="1" applyBorder="1"/>
    <xf numFmtId="41" fontId="4" fillId="0" borderId="27" xfId="0" applyNumberFormat="1" applyFont="1" applyBorder="1"/>
    <xf numFmtId="175" fontId="4" fillId="0" borderId="43" xfId="0" applyNumberFormat="1" applyFont="1" applyBorder="1" applyAlignment="1">
      <alignment horizontal="left"/>
    </xf>
    <xf numFmtId="1" fontId="4" fillId="0" borderId="44" xfId="0" applyNumberFormat="1" applyFont="1" applyBorder="1" applyAlignment="1">
      <alignment horizontal="center"/>
    </xf>
    <xf numFmtId="176" fontId="4" fillId="0" borderId="44" xfId="0" applyNumberFormat="1" applyFont="1" applyBorder="1" applyAlignment="1">
      <alignment horizontal="center"/>
    </xf>
    <xf numFmtId="176" fontId="4" fillId="0" borderId="45" xfId="0" applyNumberFormat="1" applyFont="1" applyBorder="1" applyAlignment="1">
      <alignment horizontal="center"/>
    </xf>
    <xf numFmtId="1" fontId="4" fillId="0" borderId="43" xfId="0" applyNumberFormat="1" applyFont="1" applyBorder="1" applyAlignment="1">
      <alignment horizontal="center"/>
    </xf>
    <xf numFmtId="0" fontId="2" fillId="0" borderId="40" xfId="0" applyFont="1" applyBorder="1"/>
    <xf numFmtId="0" fontId="2" fillId="0" borderId="41" xfId="0" applyFont="1" applyBorder="1"/>
    <xf numFmtId="42" fontId="8" fillId="0" borderId="42" xfId="2" applyNumberFormat="1" applyFont="1" applyFill="1" applyBorder="1" applyAlignment="1" applyProtection="1"/>
    <xf numFmtId="164" fontId="8" fillId="0" borderId="40" xfId="0" applyNumberFormat="1" applyFont="1" applyBorder="1" applyAlignment="1">
      <alignment horizontal="left"/>
    </xf>
    <xf numFmtId="1" fontId="8" fillId="0" borderId="6" xfId="0" applyNumberFormat="1" applyFont="1" applyBorder="1" applyAlignment="1">
      <alignment horizontal="center"/>
    </xf>
    <xf numFmtId="164" fontId="4" fillId="0" borderId="41" xfId="0" applyNumberFormat="1" applyFont="1" applyBorder="1"/>
    <xf numFmtId="1" fontId="8" fillId="0" borderId="46" xfId="0" applyNumberFormat="1" applyFont="1" applyBorder="1" applyAlignment="1">
      <alignment horizontal="center"/>
    </xf>
    <xf numFmtId="164" fontId="4" fillId="0" borderId="47" xfId="0" applyNumberFormat="1" applyFont="1" applyBorder="1"/>
    <xf numFmtId="0" fontId="2" fillId="0" borderId="47" xfId="0" applyFont="1" applyBorder="1"/>
    <xf numFmtId="1" fontId="10" fillId="0" borderId="3" xfId="0" applyNumberFormat="1" applyFont="1" applyBorder="1" applyAlignment="1">
      <alignment horizontal="centerContinuous"/>
    </xf>
    <xf numFmtId="164" fontId="10" fillId="0" borderId="3" xfId="0" applyNumberFormat="1" applyFont="1" applyBorder="1" applyAlignment="1">
      <alignment horizontal="centerContinuous"/>
    </xf>
    <xf numFmtId="1" fontId="10" fillId="0" borderId="3" xfId="0" applyNumberFormat="1" applyFont="1" applyBorder="1" applyAlignment="1">
      <alignment horizontal="center"/>
    </xf>
    <xf numFmtId="42" fontId="4" fillId="0" borderId="0" xfId="2" applyNumberFormat="1" applyFont="1" applyFill="1" applyAlignment="1" applyProtection="1"/>
    <xf numFmtId="177" fontId="4" fillId="0" borderId="8" xfId="0" applyNumberFormat="1" applyFont="1" applyBorder="1" applyAlignment="1">
      <alignment horizontal="center"/>
    </xf>
    <xf numFmtId="41" fontId="4" fillId="0" borderId="8" xfId="1" applyNumberFormat="1" applyFont="1" applyFill="1" applyBorder="1" applyAlignment="1" applyProtection="1"/>
    <xf numFmtId="1" fontId="4" fillId="0" borderId="0" xfId="0" applyNumberFormat="1" applyFont="1" applyAlignment="1">
      <alignment horizontal="center"/>
    </xf>
    <xf numFmtId="41" fontId="4" fillId="0" borderId="0" xfId="1" applyNumberFormat="1" applyFont="1" applyFill="1" applyAlignment="1" applyProtection="1"/>
    <xf numFmtId="177" fontId="4" fillId="0" borderId="5" xfId="0" applyNumberFormat="1" applyFont="1" applyBorder="1" applyAlignment="1">
      <alignment horizontal="center"/>
    </xf>
    <xf numFmtId="41" fontId="4" fillId="0" borderId="5" xfId="1" applyNumberFormat="1" applyFont="1" applyFill="1" applyBorder="1" applyAlignment="1" applyProtection="1"/>
    <xf numFmtId="164" fontId="11" fillId="0" borderId="0" xfId="0" applyNumberFormat="1" applyFont="1" applyAlignment="1">
      <alignment horizontal="center"/>
    </xf>
    <xf numFmtId="41" fontId="4" fillId="0" borderId="0" xfId="1" applyNumberFormat="1" applyFont="1" applyFill="1" applyAlignment="1" applyProtection="1">
      <alignment horizontal="center"/>
    </xf>
    <xf numFmtId="41" fontId="4" fillId="0" borderId="11" xfId="1" applyNumberFormat="1" applyFont="1" applyFill="1" applyBorder="1" applyAlignment="1" applyProtection="1"/>
    <xf numFmtId="9" fontId="4" fillId="0" borderId="5" xfId="0" applyNumberFormat="1" applyFont="1" applyBorder="1"/>
    <xf numFmtId="178" fontId="4" fillId="0" borderId="0" xfId="0" applyNumberFormat="1" applyFont="1" applyAlignment="1">
      <alignment horizontal="center"/>
    </xf>
    <xf numFmtId="41" fontId="2" fillId="0" borderId="0" xfId="1" applyNumberFormat="1" applyFont="1" applyFill="1" applyProtection="1"/>
    <xf numFmtId="164" fontId="12" fillId="0" borderId="0" xfId="4" applyFont="1"/>
    <xf numFmtId="1" fontId="13" fillId="0" borderId="0" xfId="0" applyNumberFormat="1" applyFont="1" applyAlignment="1">
      <alignment horizontal="center"/>
    </xf>
    <xf numFmtId="41" fontId="4" fillId="0" borderId="0" xfId="2" applyNumberFormat="1" applyFont="1" applyFill="1" applyAlignment="1" applyProtection="1"/>
    <xf numFmtId="0" fontId="8" fillId="0" borderId="0" xfId="0" applyFont="1"/>
    <xf numFmtId="41" fontId="8" fillId="0" borderId="0" xfId="0" applyNumberFormat="1" applyFont="1"/>
    <xf numFmtId="9" fontId="4" fillId="0" borderId="0" xfId="0" applyNumberFormat="1" applyFont="1" applyAlignment="1">
      <alignment horizontal="center"/>
    </xf>
    <xf numFmtId="0" fontId="4" fillId="0" borderId="3" xfId="0" applyFont="1" applyBorder="1" applyAlignment="1">
      <alignment horizontal="center"/>
    </xf>
    <xf numFmtId="165" fontId="4" fillId="0" borderId="0" xfId="0" applyNumberFormat="1" applyFont="1"/>
    <xf numFmtId="164" fontId="4" fillId="0" borderId="0" xfId="0" applyNumberFormat="1" applyFont="1" applyAlignment="1">
      <alignment horizontal="center" shrinkToFit="1"/>
    </xf>
    <xf numFmtId="41" fontId="4" fillId="0" borderId="0" xfId="0" applyNumberFormat="1" applyFont="1" applyAlignment="1">
      <alignment shrinkToFit="1"/>
    </xf>
    <xf numFmtId="41" fontId="4" fillId="0" borderId="6" xfId="0" applyNumberFormat="1" applyFont="1" applyBorder="1"/>
    <xf numFmtId="176" fontId="4" fillId="0" borderId="0" xfId="0" applyNumberFormat="1" applyFont="1"/>
    <xf numFmtId="179" fontId="4" fillId="0" borderId="6" xfId="0" applyNumberFormat="1" applyFont="1" applyBorder="1"/>
    <xf numFmtId="41" fontId="4" fillId="0" borderId="0" xfId="0" applyNumberFormat="1" applyFont="1" applyAlignment="1">
      <alignment horizontal="right" shrinkToFit="1"/>
    </xf>
    <xf numFmtId="1" fontId="4" fillId="0" borderId="0" xfId="0" applyNumberFormat="1" applyFont="1"/>
    <xf numFmtId="164" fontId="4" fillId="6" borderId="0" xfId="0" applyNumberFormat="1" applyFont="1" applyFill="1"/>
    <xf numFmtId="42" fontId="4" fillId="6" borderId="0" xfId="2" applyNumberFormat="1" applyFont="1" applyFill="1" applyBorder="1" applyAlignment="1" applyProtection="1"/>
    <xf numFmtId="42" fontId="4" fillId="0" borderId="0" xfId="0" applyNumberFormat="1" applyFont="1" applyAlignment="1">
      <alignment shrinkToFit="1"/>
    </xf>
    <xf numFmtId="0" fontId="2" fillId="0" borderId="0" xfId="0" applyFont="1" applyAlignment="1">
      <alignment shrinkToFit="1"/>
    </xf>
    <xf numFmtId="41" fontId="4" fillId="0" borderId="0" xfId="1" applyNumberFormat="1" applyFont="1" applyFill="1" applyAlignment="1" applyProtection="1">
      <alignment shrinkToFit="1"/>
    </xf>
    <xf numFmtId="41" fontId="4" fillId="0" borderId="11" xfId="1" applyNumberFormat="1" applyFont="1" applyFill="1" applyBorder="1" applyAlignment="1" applyProtection="1">
      <alignment shrinkToFit="1"/>
    </xf>
    <xf numFmtId="180" fontId="2" fillId="0" borderId="0" xfId="0" applyNumberFormat="1" applyFont="1"/>
    <xf numFmtId="41" fontId="4" fillId="0" borderId="6" xfId="0" applyNumberFormat="1" applyFont="1" applyBorder="1" applyAlignment="1">
      <alignment shrinkToFit="1"/>
    </xf>
    <xf numFmtId="42" fontId="4" fillId="0" borderId="6" xfId="2" applyNumberFormat="1" applyFont="1" applyFill="1" applyBorder="1" applyAlignment="1" applyProtection="1">
      <alignment shrinkToFit="1"/>
    </xf>
    <xf numFmtId="181" fontId="4" fillId="0" borderId="0" xfId="2" applyNumberFormat="1" applyFont="1" applyFill="1" applyBorder="1" applyAlignment="1" applyProtection="1">
      <alignment shrinkToFit="1"/>
    </xf>
    <xf numFmtId="42" fontId="4" fillId="0" borderId="48" xfId="2" applyNumberFormat="1" applyFont="1" applyFill="1" applyBorder="1" applyAlignment="1" applyProtection="1">
      <alignment shrinkToFit="1"/>
    </xf>
    <xf numFmtId="42" fontId="4" fillId="0" borderId="0" xfId="2" applyNumberFormat="1" applyFont="1" applyFill="1" applyBorder="1" applyAlignment="1" applyProtection="1">
      <alignment shrinkToFit="1"/>
    </xf>
    <xf numFmtId="39" fontId="4" fillId="0" borderId="0" xfId="0" applyNumberFormat="1" applyFont="1" applyAlignment="1">
      <alignment horizontal="center" shrinkToFit="1"/>
    </xf>
    <xf numFmtId="2" fontId="4" fillId="0" borderId="0" xfId="0" applyNumberFormat="1" applyFont="1"/>
    <xf numFmtId="0" fontId="2" fillId="0" borderId="48" xfId="0" applyFont="1" applyBorder="1"/>
    <xf numFmtId="0" fontId="2" fillId="0" borderId="48" xfId="0" applyFont="1" applyBorder="1" applyAlignment="1">
      <alignment shrinkToFit="1"/>
    </xf>
    <xf numFmtId="39" fontId="4" fillId="0" borderId="0" xfId="2" applyNumberFormat="1" applyFont="1" applyFill="1" applyBorder="1" applyAlignment="1" applyProtection="1">
      <alignment horizontal="center" shrinkToFit="1"/>
    </xf>
    <xf numFmtId="42" fontId="4" fillId="0" borderId="0" xfId="0" applyNumberFormat="1" applyFont="1"/>
    <xf numFmtId="37" fontId="4" fillId="0" borderId="0" xfId="0" applyNumberFormat="1" applyFont="1"/>
    <xf numFmtId="181" fontId="4" fillId="0" borderId="0" xfId="2" applyNumberFormat="1" applyFont="1" applyFill="1" applyBorder="1" applyAlignment="1" applyProtection="1"/>
    <xf numFmtId="41" fontId="4" fillId="0" borderId="48" xfId="2" applyNumberFormat="1" applyFont="1" applyFill="1" applyBorder="1" applyAlignment="1" applyProtection="1"/>
    <xf numFmtId="164" fontId="4" fillId="0" borderId="25" xfId="0" applyNumberFormat="1" applyFont="1" applyBorder="1"/>
    <xf numFmtId="37" fontId="4" fillId="0" borderId="25" xfId="0" applyNumberFormat="1" applyFont="1" applyBorder="1"/>
    <xf numFmtId="42" fontId="4" fillId="0" borderId="48" xfId="2" applyNumberFormat="1" applyFont="1" applyFill="1" applyBorder="1" applyAlignment="1" applyProtection="1"/>
    <xf numFmtId="37" fontId="4" fillId="0" borderId="1" xfId="0" applyNumberFormat="1" applyFont="1" applyBorder="1"/>
    <xf numFmtId="41" fontId="4" fillId="0" borderId="25" xfId="1" applyNumberFormat="1" applyFont="1" applyFill="1" applyBorder="1" applyAlignment="1" applyProtection="1"/>
    <xf numFmtId="37" fontId="8" fillId="0" borderId="0" xfId="0" applyNumberFormat="1" applyFont="1"/>
    <xf numFmtId="164" fontId="10" fillId="0" borderId="24" xfId="0" applyNumberFormat="1" applyFont="1" applyBorder="1" applyAlignment="1">
      <alignment horizontal="center"/>
    </xf>
    <xf numFmtId="14" fontId="4" fillId="0" borderId="16" xfId="0" applyNumberFormat="1" applyFont="1" applyBorder="1"/>
    <xf numFmtId="10" fontId="10" fillId="0" borderId="0" xfId="0" applyNumberFormat="1" applyFont="1" applyAlignment="1">
      <alignment horizontal="center"/>
    </xf>
    <xf numFmtId="164" fontId="10" fillId="0" borderId="40" xfId="0" applyNumberFormat="1" applyFont="1" applyBorder="1" applyAlignment="1">
      <alignment horizontal="center"/>
    </xf>
    <xf numFmtId="182" fontId="4" fillId="0" borderId="41" xfId="0" applyNumberFormat="1" applyFont="1" applyBorder="1"/>
    <xf numFmtId="10" fontId="10" fillId="0" borderId="3" xfId="0" applyNumberFormat="1" applyFont="1" applyBorder="1" applyAlignment="1">
      <alignment horizontal="center"/>
    </xf>
    <xf numFmtId="164" fontId="10" fillId="0" borderId="41" xfId="0" applyNumberFormat="1" applyFont="1" applyBorder="1"/>
    <xf numFmtId="1" fontId="4" fillId="0" borderId="49" xfId="0" applyNumberFormat="1" applyFont="1" applyBorder="1"/>
    <xf numFmtId="3" fontId="4" fillId="0" borderId="49" xfId="0" applyNumberFormat="1" applyFont="1" applyBorder="1"/>
    <xf numFmtId="164" fontId="4" fillId="0" borderId="49" xfId="0" applyNumberFormat="1" applyFont="1" applyBorder="1"/>
    <xf numFmtId="10" fontId="4" fillId="0" borderId="49" xfId="0" applyNumberFormat="1" applyFont="1" applyBorder="1" applyAlignment="1">
      <alignment horizontal="center"/>
    </xf>
    <xf numFmtId="164" fontId="4" fillId="2" borderId="49" xfId="0" applyNumberFormat="1" applyFont="1" applyFill="1" applyBorder="1"/>
    <xf numFmtId="1" fontId="4" fillId="0" borderId="13" xfId="0" applyNumberFormat="1" applyFont="1" applyBorder="1"/>
    <xf numFmtId="10" fontId="4" fillId="0" borderId="13" xfId="0" applyNumberFormat="1" applyFont="1" applyBorder="1" applyAlignment="1">
      <alignment horizontal="center"/>
    </xf>
    <xf numFmtId="3" fontId="4" fillId="0" borderId="0" xfId="0" applyNumberFormat="1" applyFont="1"/>
    <xf numFmtId="3" fontId="4" fillId="0" borderId="40" xfId="0" applyNumberFormat="1" applyFont="1" applyBorder="1"/>
    <xf numFmtId="171" fontId="4" fillId="0" borderId="41" xfId="1" applyNumberFormat="1" applyFont="1" applyFill="1" applyBorder="1" applyAlignment="1" applyProtection="1"/>
    <xf numFmtId="42" fontId="4" fillId="3" borderId="13" xfId="2" applyNumberFormat="1" applyFont="1" applyFill="1" applyBorder="1" applyAlignment="1" applyProtection="1"/>
    <xf numFmtId="41" fontId="4" fillId="3" borderId="13" xfId="1" applyNumberFormat="1" applyFont="1" applyFill="1" applyBorder="1" applyAlignment="1" applyProtection="1"/>
    <xf numFmtId="3" fontId="4" fillId="0" borderId="47" xfId="0" applyNumberFormat="1" applyFont="1" applyBorder="1"/>
    <xf numFmtId="164" fontId="4" fillId="0" borderId="23" xfId="0" applyNumberFormat="1" applyFont="1" applyBorder="1"/>
    <xf numFmtId="41" fontId="4" fillId="2" borderId="0" xfId="0" applyNumberFormat="1" applyFont="1" applyFill="1"/>
    <xf numFmtId="41" fontId="4" fillId="0" borderId="11" xfId="1" applyNumberFormat="1" applyFont="1" applyBorder="1" applyAlignment="1" applyProtection="1"/>
    <xf numFmtId="41" fontId="4" fillId="0" borderId="0" xfId="1" applyNumberFormat="1" applyFont="1" applyFill="1" applyBorder="1" applyAlignment="1" applyProtection="1">
      <alignment horizontal="center"/>
    </xf>
    <xf numFmtId="41" fontId="4" fillId="0" borderId="0" xfId="1" applyNumberFormat="1" applyFont="1" applyFill="1" applyBorder="1" applyAlignment="1" applyProtection="1">
      <alignment horizontal="right"/>
    </xf>
    <xf numFmtId="41" fontId="4" fillId="0" borderId="13" xfId="0" applyNumberFormat="1" applyFont="1" applyBorder="1"/>
    <xf numFmtId="164" fontId="8" fillId="0" borderId="0" xfId="0" applyNumberFormat="1" applyFont="1" applyAlignment="1">
      <alignment horizontal="left"/>
    </xf>
    <xf numFmtId="164" fontId="8" fillId="0" borderId="0" xfId="0" applyNumberFormat="1" applyFont="1" applyAlignment="1">
      <alignment horizontal="right"/>
    </xf>
    <xf numFmtId="164" fontId="5" fillId="0" borderId="3" xfId="4" applyBorder="1"/>
    <xf numFmtId="164" fontId="14" fillId="0" borderId="3" xfId="0" applyNumberFormat="1" applyFont="1" applyBorder="1"/>
    <xf numFmtId="164" fontId="4" fillId="0" borderId="32" xfId="0" applyNumberFormat="1" applyFont="1" applyBorder="1"/>
    <xf numFmtId="42" fontId="4" fillId="0" borderId="32" xfId="2" applyNumberFormat="1" applyFont="1" applyFill="1" applyBorder="1" applyAlignment="1" applyProtection="1"/>
    <xf numFmtId="3" fontId="4" fillId="0" borderId="0" xfId="0" applyNumberFormat="1" applyFont="1" applyAlignment="1">
      <alignment horizontal="center"/>
    </xf>
    <xf numFmtId="164" fontId="10" fillId="0" borderId="13" xfId="0" applyNumberFormat="1" applyFont="1" applyBorder="1"/>
    <xf numFmtId="41" fontId="2" fillId="0" borderId="0" xfId="1" applyNumberFormat="1" applyFont="1" applyFill="1" applyBorder="1" applyProtection="1"/>
    <xf numFmtId="164" fontId="10" fillId="0" borderId="3" xfId="0" applyNumberFormat="1" applyFont="1" applyBorder="1"/>
    <xf numFmtId="10" fontId="4" fillId="0" borderId="4" xfId="0" applyNumberFormat="1" applyFont="1" applyBorder="1" applyAlignment="1">
      <alignment horizontal="center"/>
    </xf>
    <xf numFmtId="10" fontId="4" fillId="0" borderId="0" xfId="0" applyNumberFormat="1" applyFont="1" applyAlignment="1">
      <alignment horizontal="right"/>
    </xf>
    <xf numFmtId="0" fontId="4" fillId="0" borderId="5" xfId="0" applyFont="1" applyBorder="1" applyAlignment="1">
      <alignment horizontal="center"/>
    </xf>
    <xf numFmtId="164" fontId="15" fillId="7" borderId="0" xfId="0" applyNumberFormat="1" applyFont="1" applyFill="1"/>
    <xf numFmtId="164" fontId="4" fillId="0" borderId="48" xfId="0" applyNumberFormat="1" applyFont="1" applyBorder="1"/>
    <xf numFmtId="164" fontId="2" fillId="0" borderId="48" xfId="0" applyNumberFormat="1" applyFont="1" applyBorder="1"/>
    <xf numFmtId="164" fontId="4" fillId="0" borderId="3" xfId="0" applyNumberFormat="1" applyFont="1" applyBorder="1" applyAlignment="1">
      <alignment horizontal="center"/>
    </xf>
    <xf numFmtId="164" fontId="10" fillId="0" borderId="0" xfId="0" applyNumberFormat="1" applyFont="1" applyAlignment="1">
      <alignment horizontal="centerContinuous"/>
    </xf>
    <xf numFmtId="181" fontId="4" fillId="0" borderId="0" xfId="2" applyNumberFormat="1" applyFont="1" applyFill="1" applyAlignment="1" applyProtection="1"/>
    <xf numFmtId="41" fontId="4" fillId="0" borderId="9" xfId="1" applyNumberFormat="1" applyFont="1" applyFill="1" applyBorder="1" applyAlignment="1" applyProtection="1"/>
    <xf numFmtId="9" fontId="4" fillId="0" borderId="0" xfId="1" applyNumberFormat="1" applyFont="1" applyFill="1" applyBorder="1" applyAlignment="1" applyProtection="1"/>
    <xf numFmtId="0" fontId="4" fillId="0" borderId="5" xfId="0" applyFont="1" applyBorder="1"/>
    <xf numFmtId="9" fontId="4" fillId="0" borderId="0" xfId="0" applyNumberFormat="1" applyFont="1"/>
    <xf numFmtId="164" fontId="16" fillId="0" borderId="1" xfId="0" applyNumberFormat="1" applyFont="1" applyBorder="1" applyAlignment="1">
      <alignment horizontal="left"/>
    </xf>
    <xf numFmtId="3" fontId="2" fillId="0" borderId="2" xfId="0" applyNumberFormat="1" applyFont="1" applyBorder="1" applyAlignment="1">
      <alignment horizontal="left"/>
    </xf>
    <xf numFmtId="164" fontId="4" fillId="0" borderId="2" xfId="0" applyNumberFormat="1" applyFont="1" applyBorder="1" applyAlignment="1">
      <alignment horizontal="centerContinuous"/>
    </xf>
    <xf numFmtId="164" fontId="4" fillId="0" borderId="2" xfId="0" applyNumberFormat="1" applyFont="1" applyBorder="1" applyAlignment="1">
      <alignment horizontal="center"/>
    </xf>
    <xf numFmtId="164" fontId="4" fillId="0" borderId="11" xfId="0" applyNumberFormat="1" applyFont="1" applyBorder="1"/>
    <xf numFmtId="164" fontId="17" fillId="0" borderId="3" xfId="4" applyFont="1" applyBorder="1"/>
    <xf numFmtId="1" fontId="4" fillId="0" borderId="50" xfId="0" applyNumberFormat="1" applyFont="1" applyBorder="1" applyAlignment="1">
      <alignment horizontal="center"/>
    </xf>
    <xf numFmtId="164" fontId="10" fillId="0" borderId="51" xfId="0" applyNumberFormat="1" applyFont="1" applyBorder="1" applyAlignment="1">
      <alignment horizontal="center"/>
    </xf>
    <xf numFmtId="164" fontId="14" fillId="0" borderId="0" xfId="0" applyNumberFormat="1" applyFont="1" applyAlignment="1">
      <alignment horizontal="left"/>
    </xf>
    <xf numFmtId="0" fontId="4" fillId="0" borderId="5" xfId="0" applyFont="1" applyBorder="1" applyAlignment="1">
      <alignment horizontal="center" shrinkToFit="1"/>
    </xf>
    <xf numFmtId="9" fontId="4" fillId="0" borderId="5" xfId="3" applyFont="1" applyFill="1" applyBorder="1" applyAlignment="1" applyProtection="1">
      <alignment horizontal="center"/>
    </xf>
    <xf numFmtId="41" fontId="4" fillId="0" borderId="5" xfId="1" applyNumberFormat="1" applyFont="1" applyFill="1" applyBorder="1" applyAlignment="1" applyProtection="1">
      <alignment horizontal="right"/>
    </xf>
    <xf numFmtId="41" fontId="4" fillId="0" borderId="5" xfId="2" applyNumberFormat="1" applyFont="1" applyFill="1" applyBorder="1" applyAlignment="1" applyProtection="1"/>
    <xf numFmtId="176" fontId="4" fillId="0" borderId="5" xfId="3" applyNumberFormat="1" applyFont="1" applyFill="1" applyBorder="1" applyAlignment="1" applyProtection="1">
      <alignment horizontal="center"/>
    </xf>
    <xf numFmtId="42" fontId="4" fillId="0" borderId="5" xfId="2" applyNumberFormat="1" applyFont="1" applyFill="1" applyBorder="1" applyAlignment="1" applyProtection="1"/>
    <xf numFmtId="10" fontId="4" fillId="0" borderId="5" xfId="3" applyNumberFormat="1" applyFont="1" applyFill="1" applyBorder="1" applyAlignment="1" applyProtection="1">
      <alignment horizontal="center"/>
    </xf>
    <xf numFmtId="41" fontId="4" fillId="0" borderId="6" xfId="2" applyNumberFormat="1" applyFont="1" applyFill="1" applyBorder="1" applyAlignment="1" applyProtection="1"/>
    <xf numFmtId="41" fontId="4" fillId="0" borderId="0" xfId="2" applyNumberFormat="1" applyFont="1" applyFill="1" applyBorder="1" applyAlignment="1" applyProtection="1"/>
    <xf numFmtId="37" fontId="4" fillId="0" borderId="0" xfId="0" applyNumberFormat="1" applyFont="1" applyAlignment="1">
      <alignment horizontal="right"/>
    </xf>
    <xf numFmtId="10" fontId="4" fillId="0" borderId="50" xfId="1" applyNumberFormat="1" applyFont="1" applyFill="1" applyBorder="1" applyAlignment="1" applyProtection="1">
      <alignment horizontal="center"/>
    </xf>
    <xf numFmtId="0" fontId="2" fillId="8" borderId="0" xfId="0" applyFont="1" applyFill="1"/>
    <xf numFmtId="37" fontId="4" fillId="8" borderId="0" xfId="0" applyNumberFormat="1" applyFont="1" applyFill="1"/>
    <xf numFmtId="10" fontId="4" fillId="8" borderId="50" xfId="1" applyNumberFormat="1" applyFont="1" applyFill="1" applyBorder="1" applyAlignment="1" applyProtection="1">
      <alignment horizontal="center"/>
    </xf>
    <xf numFmtId="171" fontId="4" fillId="0" borderId="0" xfId="1" applyNumberFormat="1" applyFont="1" applyFill="1" applyBorder="1" applyAlignment="1" applyProtection="1"/>
    <xf numFmtId="10" fontId="4" fillId="0" borderId="52" xfId="1" applyNumberFormat="1" applyFont="1" applyFill="1" applyBorder="1" applyAlignment="1" applyProtection="1">
      <alignment horizontal="center"/>
    </xf>
    <xf numFmtId="10" fontId="4" fillId="0" borderId="53" xfId="0" applyNumberFormat="1" applyFont="1" applyBorder="1" applyAlignment="1">
      <alignment horizontal="center"/>
    </xf>
    <xf numFmtId="0" fontId="4" fillId="0" borderId="8" xfId="0" applyFont="1" applyBorder="1"/>
    <xf numFmtId="38" fontId="4" fillId="0" borderId="8" xfId="0" applyNumberFormat="1" applyFont="1" applyBorder="1" applyAlignment="1">
      <alignment horizontal="center"/>
    </xf>
    <xf numFmtId="43" fontId="4" fillId="0" borderId="8" xfId="0" applyNumberFormat="1" applyFont="1" applyBorder="1"/>
    <xf numFmtId="10" fontId="4" fillId="0" borderId="8" xfId="3" applyNumberFormat="1" applyFont="1" applyBorder="1" applyAlignment="1" applyProtection="1">
      <alignment horizontal="center"/>
    </xf>
    <xf numFmtId="179" fontId="4" fillId="0" borderId="8" xfId="0" applyNumberFormat="1" applyFont="1" applyBorder="1"/>
    <xf numFmtId="41" fontId="4" fillId="0" borderId="8" xfId="0" applyNumberFormat="1" applyFont="1" applyBorder="1" applyAlignment="1">
      <alignment shrinkToFit="1"/>
    </xf>
    <xf numFmtId="10" fontId="4" fillId="0" borderId="8" xfId="3" applyNumberFormat="1" applyFont="1" applyFill="1" applyBorder="1" applyAlignment="1" applyProtection="1">
      <alignment horizontal="center"/>
    </xf>
    <xf numFmtId="38" fontId="4" fillId="0" borderId="6" xfId="0" applyNumberFormat="1" applyFont="1" applyBorder="1" applyAlignment="1">
      <alignment horizontal="center"/>
    </xf>
    <xf numFmtId="0" fontId="4" fillId="6" borderId="0" xfId="0" applyFont="1" applyFill="1"/>
    <xf numFmtId="164" fontId="13" fillId="0" borderId="8" xfId="0" applyNumberFormat="1" applyFont="1" applyBorder="1" applyAlignment="1">
      <alignment horizontal="center"/>
    </xf>
    <xf numFmtId="164" fontId="10" fillId="0" borderId="3" xfId="5" applyNumberFormat="1" applyFont="1" applyBorder="1"/>
    <xf numFmtId="0" fontId="4" fillId="0" borderId="8" xfId="0" applyFont="1" applyBorder="1" applyAlignment="1">
      <alignment horizontal="center"/>
    </xf>
    <xf numFmtId="42" fontId="4" fillId="0" borderId="8" xfId="2" applyNumberFormat="1" applyFont="1" applyFill="1" applyBorder="1" applyAlignment="1" applyProtection="1"/>
    <xf numFmtId="42" fontId="4" fillId="0" borderId="4" xfId="2" applyNumberFormat="1" applyFont="1" applyFill="1" applyBorder="1" applyAlignment="1" applyProtection="1"/>
    <xf numFmtId="41" fontId="4" fillId="0" borderId="54" xfId="1" applyNumberFormat="1" applyFont="1" applyFill="1" applyBorder="1" applyAlignment="1" applyProtection="1"/>
    <xf numFmtId="41" fontId="10" fillId="0" borderId="0" xfId="0" applyNumberFormat="1" applyFont="1"/>
    <xf numFmtId="164" fontId="4" fillId="0" borderId="0" xfId="5" applyNumberFormat="1" applyFont="1"/>
    <xf numFmtId="164" fontId="4" fillId="0" borderId="5" xfId="5" applyNumberFormat="1" applyFont="1" applyBorder="1"/>
    <xf numFmtId="0" fontId="11" fillId="0" borderId="0" xfId="0" applyFont="1"/>
    <xf numFmtId="167" fontId="4" fillId="0" borderId="8" xfId="0" applyNumberFormat="1" applyFont="1" applyBorder="1"/>
    <xf numFmtId="171" fontId="4" fillId="0" borderId="0" xfId="1" applyNumberFormat="1" applyFont="1" applyFill="1" applyBorder="1" applyProtection="1"/>
    <xf numFmtId="44" fontId="4" fillId="0" borderId="8" xfId="2" applyFont="1" applyFill="1" applyBorder="1" applyAlignment="1" applyProtection="1"/>
    <xf numFmtId="42" fontId="4" fillId="0" borderId="0" xfId="2" applyNumberFormat="1" applyFont="1" applyFill="1" applyBorder="1" applyAlignment="1" applyProtection="1"/>
    <xf numFmtId="42" fontId="4" fillId="0" borderId="0" xfId="2" applyNumberFormat="1" applyFont="1" applyFill="1" applyBorder="1" applyProtection="1"/>
    <xf numFmtId="165" fontId="2" fillId="0" borderId="0" xfId="0" applyNumberFormat="1" applyFont="1"/>
    <xf numFmtId="42" fontId="4" fillId="0" borderId="55" xfId="2" applyNumberFormat="1" applyFont="1" applyFill="1" applyBorder="1" applyAlignment="1" applyProtection="1">
      <alignment horizontal="center"/>
    </xf>
    <xf numFmtId="41" fontId="4" fillId="0" borderId="11" xfId="2" applyNumberFormat="1" applyFont="1" applyFill="1" applyBorder="1" applyAlignment="1" applyProtection="1"/>
    <xf numFmtId="164" fontId="10" fillId="0" borderId="0" xfId="0" applyNumberFormat="1" applyFont="1" applyAlignment="1">
      <alignment horizontal="left"/>
    </xf>
    <xf numFmtId="164" fontId="1" fillId="0" borderId="0" xfId="0" applyNumberFormat="1" applyFont="1"/>
    <xf numFmtId="3" fontId="7" fillId="0" borderId="2" xfId="0" applyNumberFormat="1" applyFont="1" applyBorder="1"/>
    <xf numFmtId="41" fontId="8" fillId="0" borderId="0" xfId="0" applyNumberFormat="1" applyFont="1" applyAlignment="1">
      <alignment horizontal="center"/>
    </xf>
    <xf numFmtId="1" fontId="13" fillId="0" borderId="24" xfId="0" applyNumberFormat="1" applyFont="1" applyBorder="1" applyAlignment="1">
      <alignment horizontal="center"/>
    </xf>
    <xf numFmtId="1" fontId="13" fillId="0" borderId="25" xfId="0" applyNumberFormat="1" applyFont="1" applyBorder="1" applyAlignment="1">
      <alignment horizontal="center"/>
    </xf>
    <xf numFmtId="1" fontId="13" fillId="0" borderId="16" xfId="0" applyNumberFormat="1" applyFont="1" applyBorder="1" applyAlignment="1">
      <alignment horizontal="center"/>
    </xf>
    <xf numFmtId="10" fontId="4" fillId="0" borderId="40" xfId="0" applyNumberFormat="1" applyFont="1" applyBorder="1"/>
    <xf numFmtId="10" fontId="4" fillId="0" borderId="41" xfId="0" applyNumberFormat="1" applyFont="1" applyBorder="1"/>
    <xf numFmtId="10" fontId="4" fillId="0" borderId="40" xfId="0" applyNumberFormat="1" applyFont="1" applyBorder="1" applyAlignment="1">
      <alignment horizontal="right"/>
    </xf>
    <xf numFmtId="10" fontId="4" fillId="0" borderId="41" xfId="0" applyNumberFormat="1" applyFont="1" applyBorder="1" applyAlignment="1">
      <alignment horizontal="right"/>
    </xf>
    <xf numFmtId="10" fontId="4" fillId="0" borderId="47" xfId="0" applyNumberFormat="1" applyFont="1" applyBorder="1"/>
    <xf numFmtId="10" fontId="4" fillId="0" borderId="1" xfId="0" applyNumberFormat="1" applyFont="1" applyBorder="1"/>
    <xf numFmtId="10" fontId="4" fillId="0" borderId="23" xfId="0" applyNumberFormat="1" applyFont="1" applyBorder="1"/>
    <xf numFmtId="1" fontId="0" fillId="0" borderId="0" xfId="0" applyNumberFormat="1"/>
    <xf numFmtId="9" fontId="0" fillId="0" borderId="0" xfId="0" applyNumberFormat="1"/>
    <xf numFmtId="14" fontId="0" fillId="0" borderId="0" xfId="0" applyNumberFormat="1"/>
    <xf numFmtId="0" fontId="0" fillId="9" borderId="0" xfId="0" applyFill="1"/>
    <xf numFmtId="41" fontId="0" fillId="9" borderId="0" xfId="0" applyNumberFormat="1" applyFill="1"/>
    <xf numFmtId="0" fontId="19" fillId="16" borderId="0" xfId="0" applyFont="1" applyFill="1" applyAlignment="1">
      <alignment horizontal="left"/>
    </xf>
    <xf numFmtId="9" fontId="0" fillId="9" borderId="0" xfId="0" applyNumberFormat="1" applyFill="1"/>
    <xf numFmtId="0" fontId="23" fillId="9" borderId="0" xfId="0" applyFont="1" applyFill="1"/>
    <xf numFmtId="0" fontId="24" fillId="0" borderId="0" xfId="0" applyFont="1"/>
    <xf numFmtId="0" fontId="25" fillId="0" borderId="0" xfId="0" applyFont="1"/>
    <xf numFmtId="0" fontId="27" fillId="0" borderId="0" xfId="0" applyFont="1"/>
    <xf numFmtId="0" fontId="21" fillId="0" borderId="0" xfId="0" applyFont="1" applyAlignment="1">
      <alignment horizontal="left"/>
    </xf>
    <xf numFmtId="0" fontId="21" fillId="0" borderId="0" xfId="0" applyFont="1"/>
    <xf numFmtId="0" fontId="26" fillId="0" borderId="0" xfId="0" applyFont="1"/>
    <xf numFmtId="0" fontId="26" fillId="0" borderId="0" xfId="0" applyFont="1" applyAlignment="1">
      <alignment horizontal="left"/>
    </xf>
    <xf numFmtId="0" fontId="0" fillId="18" borderId="0" xfId="0" applyFill="1"/>
    <xf numFmtId="14" fontId="24" fillId="0" borderId="0" xfId="0" applyNumberFormat="1" applyFont="1"/>
    <xf numFmtId="10" fontId="24" fillId="0" borderId="0" xfId="0" applyNumberFormat="1" applyFont="1"/>
    <xf numFmtId="0" fontId="32" fillId="0" borderId="0" xfId="0" applyFont="1"/>
    <xf numFmtId="9" fontId="24" fillId="0" borderId="0" xfId="0" applyNumberFormat="1" applyFont="1"/>
    <xf numFmtId="1" fontId="24" fillId="0" borderId="0" xfId="0" applyNumberFormat="1" applyFont="1"/>
    <xf numFmtId="41" fontId="24" fillId="0" borderId="0" xfId="0" applyNumberFormat="1" applyFont="1"/>
    <xf numFmtId="0" fontId="24" fillId="0" borderId="55" xfId="0" applyFont="1" applyBorder="1"/>
    <xf numFmtId="3" fontId="24" fillId="0" borderId="0" xfId="0" applyNumberFormat="1" applyFont="1"/>
    <xf numFmtId="0" fontId="33" fillId="0" borderId="0" xfId="0" applyFont="1"/>
    <xf numFmtId="14" fontId="33" fillId="0" borderId="0" xfId="0" applyNumberFormat="1" applyFont="1"/>
    <xf numFmtId="41" fontId="33" fillId="0" borderId="0" xfId="0" applyNumberFormat="1" applyFont="1"/>
    <xf numFmtId="42" fontId="24" fillId="0" borderId="0" xfId="0" applyNumberFormat="1" applyFont="1"/>
    <xf numFmtId="179" fontId="24" fillId="0" borderId="0" xfId="0" applyNumberFormat="1" applyFont="1"/>
    <xf numFmtId="43" fontId="24" fillId="0" borderId="0" xfId="0" applyNumberFormat="1" applyFont="1"/>
    <xf numFmtId="0" fontId="30" fillId="0" borderId="0" xfId="0" applyFont="1"/>
    <xf numFmtId="0" fontId="36" fillId="0" borderId="0" xfId="0" applyFont="1"/>
    <xf numFmtId="0" fontId="24" fillId="0" borderId="0" xfId="0" applyFont="1" applyAlignment="1">
      <alignment vertical="center" wrapText="1"/>
    </xf>
    <xf numFmtId="14" fontId="24" fillId="0" borderId="0" xfId="0" applyNumberFormat="1" applyFont="1" applyAlignment="1">
      <alignment vertical="center" wrapText="1"/>
    </xf>
    <xf numFmtId="0" fontId="0" fillId="19" borderId="0" xfId="0" applyFill="1"/>
    <xf numFmtId="0" fontId="41" fillId="20" borderId="58" xfId="0" applyFont="1" applyFill="1" applyBorder="1"/>
    <xf numFmtId="0" fontId="41" fillId="20" borderId="59" xfId="0" applyFont="1" applyFill="1" applyBorder="1"/>
    <xf numFmtId="0" fontId="41" fillId="20" borderId="60" xfId="0" applyFont="1" applyFill="1" applyBorder="1"/>
    <xf numFmtId="0" fontId="42" fillId="20" borderId="58" xfId="0" applyFont="1" applyFill="1" applyBorder="1"/>
    <xf numFmtId="0" fontId="42" fillId="20" borderId="59" xfId="0" applyFont="1" applyFill="1" applyBorder="1"/>
    <xf numFmtId="0" fontId="42" fillId="20" borderId="60" xfId="0" applyFont="1" applyFill="1" applyBorder="1"/>
    <xf numFmtId="0" fontId="43" fillId="20" borderId="58" xfId="0" applyFont="1" applyFill="1" applyBorder="1"/>
    <xf numFmtId="14" fontId="43" fillId="20" borderId="59" xfId="0" applyNumberFormat="1" applyFont="1" applyFill="1" applyBorder="1"/>
    <xf numFmtId="0" fontId="43" fillId="20" borderId="59" xfId="0" applyFont="1" applyFill="1" applyBorder="1"/>
    <xf numFmtId="0" fontId="43" fillId="20" borderId="60" xfId="0" applyFont="1" applyFill="1" applyBorder="1"/>
    <xf numFmtId="0" fontId="42" fillId="20" borderId="55" xfId="0" applyFont="1" applyFill="1" applyBorder="1"/>
    <xf numFmtId="14" fontId="42" fillId="20" borderId="59" xfId="0" applyNumberFormat="1" applyFont="1" applyFill="1" applyBorder="1"/>
    <xf numFmtId="0" fontId="42" fillId="20" borderId="58" xfId="0" applyFont="1" applyFill="1" applyBorder="1" applyAlignment="1">
      <alignment vertical="center" wrapText="1"/>
    </xf>
    <xf numFmtId="0" fontId="42" fillId="20" borderId="59" xfId="0" quotePrefix="1" applyFont="1" applyFill="1" applyBorder="1" applyAlignment="1">
      <alignment vertical="center" wrapText="1"/>
    </xf>
    <xf numFmtId="0" fontId="42" fillId="20" borderId="59" xfId="0" applyFont="1" applyFill="1" applyBorder="1" applyAlignment="1">
      <alignment vertical="center" wrapText="1"/>
    </xf>
    <xf numFmtId="0" fontId="42" fillId="20" borderId="60" xfId="0" applyFont="1" applyFill="1" applyBorder="1" applyAlignment="1">
      <alignment vertical="center" wrapText="1"/>
    </xf>
    <xf numFmtId="0" fontId="40" fillId="20" borderId="0" xfId="0" applyFont="1" applyFill="1" applyAlignment="1">
      <alignment horizontal="right"/>
    </xf>
    <xf numFmtId="0" fontId="40" fillId="20" borderId="58" xfId="0" applyFont="1" applyFill="1" applyBorder="1" applyAlignment="1">
      <alignment horizontal="right" vertical="center"/>
    </xf>
    <xf numFmtId="0" fontId="37" fillId="20" borderId="58" xfId="0" applyFont="1" applyFill="1" applyBorder="1"/>
    <xf numFmtId="0" fontId="37" fillId="20" borderId="59" xfId="0" applyFont="1" applyFill="1" applyBorder="1"/>
    <xf numFmtId="14" fontId="37" fillId="20" borderId="1" xfId="0" applyNumberFormat="1" applyFont="1" applyFill="1" applyBorder="1"/>
    <xf numFmtId="0" fontId="37" fillId="20" borderId="1" xfId="0" applyFont="1" applyFill="1" applyBorder="1"/>
    <xf numFmtId="0" fontId="39" fillId="20" borderId="60" xfId="0" applyFont="1" applyFill="1" applyBorder="1"/>
    <xf numFmtId="14" fontId="42" fillId="20" borderId="60" xfId="0" applyNumberFormat="1" applyFont="1" applyFill="1" applyBorder="1"/>
    <xf numFmtId="0" fontId="31" fillId="0" borderId="0" xfId="0" applyFont="1"/>
    <xf numFmtId="0" fontId="45" fillId="11" borderId="50" xfId="0" applyFont="1" applyFill="1" applyBorder="1"/>
    <xf numFmtId="0" fontId="24" fillId="0" borderId="50" xfId="0" applyFont="1" applyBorder="1"/>
    <xf numFmtId="0" fontId="21" fillId="12" borderId="50" xfId="0" applyFont="1" applyFill="1" applyBorder="1"/>
    <xf numFmtId="0" fontId="21" fillId="13" borderId="50" xfId="0" applyFont="1" applyFill="1" applyBorder="1"/>
    <xf numFmtId="0" fontId="46" fillId="12" borderId="50" xfId="0" applyFont="1" applyFill="1" applyBorder="1"/>
    <xf numFmtId="0" fontId="47" fillId="14" borderId="50" xfId="0" applyFont="1" applyFill="1" applyBorder="1"/>
    <xf numFmtId="0" fontId="21" fillId="12" borderId="50" xfId="0" applyFont="1" applyFill="1" applyBorder="1" applyAlignment="1">
      <alignment wrapText="1"/>
    </xf>
    <xf numFmtId="0" fontId="24" fillId="14" borderId="50" xfId="0" applyFont="1" applyFill="1" applyBorder="1"/>
    <xf numFmtId="0" fontId="48" fillId="12" borderId="50" xfId="0" applyFont="1" applyFill="1" applyBorder="1"/>
    <xf numFmtId="0" fontId="21" fillId="15" borderId="50" xfId="0" applyFont="1" applyFill="1" applyBorder="1"/>
    <xf numFmtId="0" fontId="21" fillId="14" borderId="50" xfId="0" applyFont="1" applyFill="1" applyBorder="1"/>
    <xf numFmtId="0" fontId="21" fillId="10" borderId="50" xfId="0" applyFont="1" applyFill="1" applyBorder="1"/>
    <xf numFmtId="0" fontId="47" fillId="14" borderId="50" xfId="0" applyFont="1" applyFill="1" applyBorder="1" applyAlignment="1">
      <alignment wrapText="1"/>
    </xf>
    <xf numFmtId="0" fontId="24" fillId="14" borderId="50" xfId="0" applyFont="1" applyFill="1" applyBorder="1" applyAlignment="1">
      <alignment wrapText="1"/>
    </xf>
    <xf numFmtId="0" fontId="47" fillId="10" borderId="50" xfId="0" applyFont="1" applyFill="1" applyBorder="1"/>
    <xf numFmtId="0" fontId="49" fillId="12" borderId="50" xfId="0" applyFont="1" applyFill="1" applyBorder="1"/>
    <xf numFmtId="0" fontId="50" fillId="15" borderId="50" xfId="0" applyFont="1" applyFill="1" applyBorder="1"/>
    <xf numFmtId="0" fontId="24" fillId="12" borderId="50" xfId="0" applyFont="1" applyFill="1" applyBorder="1" applyAlignment="1">
      <alignment wrapText="1"/>
    </xf>
    <xf numFmtId="0" fontId="21" fillId="10" borderId="50" xfId="0" applyFont="1" applyFill="1" applyBorder="1" applyAlignment="1">
      <alignment wrapText="1"/>
    </xf>
    <xf numFmtId="0" fontId="50" fillId="14" borderId="50" xfId="0" applyFont="1" applyFill="1" applyBorder="1"/>
    <xf numFmtId="0" fontId="50" fillId="15" borderId="50" xfId="0" applyFont="1" applyFill="1" applyBorder="1" applyAlignment="1">
      <alignment horizontal="left"/>
    </xf>
    <xf numFmtId="0" fontId="50" fillId="10" borderId="50" xfId="0" applyFont="1" applyFill="1" applyBorder="1"/>
    <xf numFmtId="0" fontId="50" fillId="15" borderId="50" xfId="0" applyFont="1" applyFill="1" applyBorder="1" applyAlignment="1">
      <alignment wrapText="1"/>
    </xf>
    <xf numFmtId="3" fontId="52" fillId="0" borderId="0" xfId="0" applyNumberFormat="1" applyFont="1"/>
    <xf numFmtId="0" fontId="40" fillId="17" borderId="61" xfId="0" applyFont="1" applyFill="1" applyBorder="1"/>
    <xf numFmtId="0" fontId="40" fillId="17" borderId="58" xfId="0" applyFont="1" applyFill="1" applyBorder="1"/>
    <xf numFmtId="0" fontId="39" fillId="21" borderId="55" xfId="0" applyFont="1" applyFill="1" applyBorder="1" applyAlignment="1">
      <alignment horizontal="left" vertical="center" wrapText="1"/>
    </xf>
    <xf numFmtId="0" fontId="39" fillId="21" borderId="55" xfId="0" applyFont="1" applyFill="1" applyBorder="1" applyAlignment="1">
      <alignment horizontal="left" vertical="center"/>
    </xf>
    <xf numFmtId="0" fontId="42" fillId="22" borderId="0" xfId="0" applyFont="1" applyFill="1" applyAlignment="1">
      <alignment horizontal="right"/>
    </xf>
    <xf numFmtId="0" fontId="18" fillId="18" borderId="0" xfId="0" applyFont="1" applyFill="1"/>
    <xf numFmtId="0" fontId="28" fillId="21" borderId="0" xfId="0" applyFont="1" applyFill="1"/>
    <xf numFmtId="0" fontId="39" fillId="21" borderId="0" xfId="0" applyFont="1" applyFill="1"/>
    <xf numFmtId="0" fontId="28" fillId="21" borderId="55" xfId="0" applyFont="1" applyFill="1" applyBorder="1"/>
    <xf numFmtId="0" fontId="39" fillId="21" borderId="55" xfId="0" applyFont="1" applyFill="1" applyBorder="1"/>
    <xf numFmtId="0" fontId="39" fillId="23" borderId="0" xfId="0" applyFont="1" applyFill="1"/>
    <xf numFmtId="0" fontId="34" fillId="0" borderId="0" xfId="0" applyFont="1"/>
    <xf numFmtId="0" fontId="44" fillId="0" borderId="0" xfId="0" applyFont="1"/>
    <xf numFmtId="0" fontId="0" fillId="23" borderId="0" xfId="0" applyFill="1"/>
    <xf numFmtId="0" fontId="42" fillId="23" borderId="0" xfId="0" applyFont="1" applyFill="1"/>
    <xf numFmtId="0" fontId="34" fillId="23" borderId="0" xfId="0" applyFont="1" applyFill="1"/>
    <xf numFmtId="0" fontId="22" fillId="0" borderId="0" xfId="0" applyFont="1"/>
    <xf numFmtId="0" fontId="39" fillId="0" borderId="0" xfId="0" applyFont="1"/>
    <xf numFmtId="0" fontId="24" fillId="23" borderId="0" xfId="0" applyFont="1" applyFill="1"/>
    <xf numFmtId="0" fontId="39" fillId="23" borderId="55" xfId="0" applyFont="1" applyFill="1" applyBorder="1" applyAlignment="1">
      <alignment horizontal="center"/>
    </xf>
    <xf numFmtId="14" fontId="44" fillId="23" borderId="0" xfId="0" applyNumberFormat="1" applyFont="1" applyFill="1"/>
    <xf numFmtId="0" fontId="29" fillId="0" borderId="0" xfId="0" applyFont="1"/>
    <xf numFmtId="14" fontId="24" fillId="23" borderId="0" xfId="0" applyNumberFormat="1" applyFont="1" applyFill="1"/>
    <xf numFmtId="0" fontId="24" fillId="23" borderId="58" xfId="0" applyFont="1" applyFill="1" applyBorder="1"/>
    <xf numFmtId="0" fontId="39" fillId="23" borderId="0" xfId="0" applyFont="1" applyFill="1" applyAlignment="1">
      <alignment horizontal="left"/>
    </xf>
    <xf numFmtId="0" fontId="39" fillId="23" borderId="59" xfId="0" applyFont="1" applyFill="1" applyBorder="1" applyAlignment="1">
      <alignment horizontal="center"/>
    </xf>
    <xf numFmtId="14" fontId="24" fillId="23" borderId="60" xfId="0" applyNumberFormat="1" applyFont="1" applyFill="1" applyBorder="1"/>
    <xf numFmtId="10" fontId="34" fillId="0" borderId="0" xfId="0" applyNumberFormat="1" applyFont="1"/>
    <xf numFmtId="3" fontId="34" fillId="0" borderId="0" xfId="0" applyNumberFormat="1" applyFont="1"/>
    <xf numFmtId="0" fontId="42" fillId="20" borderId="1" xfId="0" applyFont="1" applyFill="1" applyBorder="1"/>
    <xf numFmtId="0" fontId="42" fillId="0" borderId="0" xfId="0" applyFont="1"/>
    <xf numFmtId="0" fontId="39" fillId="23" borderId="0" xfId="0" applyFont="1" applyFill="1" applyAlignment="1">
      <alignment horizontal="left" vertical="top"/>
    </xf>
    <xf numFmtId="0" fontId="42" fillId="23" borderId="0" xfId="0" applyFont="1" applyFill="1" applyAlignment="1">
      <alignment horizontal="left" vertical="top"/>
    </xf>
    <xf numFmtId="0" fontId="39" fillId="26" borderId="0" xfId="0" applyFont="1" applyFill="1"/>
    <xf numFmtId="0" fontId="39" fillId="26" borderId="56" xfId="0" applyFont="1" applyFill="1" applyBorder="1"/>
    <xf numFmtId="0" fontId="39" fillId="26" borderId="9" xfId="0" applyFont="1" applyFill="1" applyBorder="1"/>
    <xf numFmtId="0" fontId="39" fillId="26" borderId="57" xfId="0" applyFont="1" applyFill="1" applyBorder="1"/>
    <xf numFmtId="0" fontId="39" fillId="25" borderId="0" xfId="0" applyFont="1" applyFill="1"/>
    <xf numFmtId="0" fontId="39" fillId="25" borderId="0" xfId="0" applyFont="1" applyFill="1" applyAlignment="1">
      <alignment horizontal="left"/>
    </xf>
    <xf numFmtId="0" fontId="39" fillId="24" borderId="0" xfId="0" applyFont="1" applyFill="1"/>
    <xf numFmtId="0" fontId="44" fillId="23" borderId="0" xfId="0" applyFont="1" applyFill="1" applyAlignment="1">
      <alignment horizontal="left" vertical="top" wrapText="1"/>
    </xf>
    <xf numFmtId="14" fontId="24" fillId="0" borderId="55" xfId="0" applyNumberFormat="1" applyFont="1" applyBorder="1" applyAlignment="1">
      <alignment horizontal="left"/>
    </xf>
    <xf numFmtId="0" fontId="35" fillId="0" borderId="55" xfId="0" applyFont="1" applyBorder="1"/>
    <xf numFmtId="0" fontId="34" fillId="23" borderId="0" xfId="0" applyFont="1" applyFill="1" applyAlignment="1">
      <alignment horizontal="left"/>
    </xf>
    <xf numFmtId="0" fontId="55" fillId="0" borderId="0" xfId="0" applyFont="1"/>
    <xf numFmtId="0" fontId="55" fillId="0" borderId="0" xfId="0" applyFont="1" applyAlignment="1">
      <alignment horizontal="center"/>
    </xf>
    <xf numFmtId="0" fontId="34" fillId="26" borderId="0" xfId="0" applyFont="1" applyFill="1"/>
    <xf numFmtId="0" fontId="39" fillId="26" borderId="0" xfId="0" applyFont="1" applyFill="1" applyAlignment="1">
      <alignment horizontal="left"/>
    </xf>
    <xf numFmtId="0" fontId="34" fillId="26" borderId="0" xfId="0" applyFont="1" applyFill="1" applyAlignment="1">
      <alignment horizontal="left"/>
    </xf>
    <xf numFmtId="0" fontId="39" fillId="25" borderId="0" xfId="0" applyFont="1" applyFill="1" applyAlignment="1">
      <alignment vertical="top"/>
    </xf>
    <xf numFmtId="0" fontId="20" fillId="0" borderId="0" xfId="0" applyFont="1"/>
    <xf numFmtId="0" fontId="20" fillId="0" borderId="0" xfId="0" applyFont="1" applyAlignment="1">
      <alignment wrapText="1"/>
    </xf>
    <xf numFmtId="0" fontId="39" fillId="24" borderId="0" xfId="0" applyFont="1" applyFill="1" applyAlignment="1">
      <alignment horizontal="center"/>
    </xf>
    <xf numFmtId="0" fontId="24" fillId="0" borderId="0" xfId="0" applyFont="1" applyAlignment="1">
      <alignment horizontal="left"/>
    </xf>
    <xf numFmtId="0" fontId="0" fillId="27" borderId="0" xfId="0" applyFill="1"/>
    <xf numFmtId="0" fontId="56" fillId="27" borderId="16" xfId="0" applyFont="1" applyFill="1" applyBorder="1"/>
    <xf numFmtId="0" fontId="39" fillId="27" borderId="0" xfId="0" applyFont="1" applyFill="1" applyAlignment="1">
      <alignment horizontal="center" vertical="center"/>
    </xf>
    <xf numFmtId="0" fontId="34" fillId="23" borderId="0" xfId="0" applyFont="1" applyFill="1" applyAlignment="1">
      <alignment horizontal="left" vertical="center"/>
    </xf>
    <xf numFmtId="0" fontId="39" fillId="23" borderId="40" xfId="0" applyFont="1" applyFill="1" applyBorder="1" applyAlignment="1">
      <alignment wrapText="1"/>
    </xf>
    <xf numFmtId="0" fontId="28" fillId="23" borderId="41" xfId="0" applyFont="1" applyFill="1" applyBorder="1"/>
    <xf numFmtId="0" fontId="39" fillId="23" borderId="40" xfId="0" applyFont="1" applyFill="1" applyBorder="1"/>
    <xf numFmtId="0" fontId="39" fillId="23" borderId="47" xfId="0" applyFont="1" applyFill="1" applyBorder="1"/>
    <xf numFmtId="0" fontId="28" fillId="23" borderId="23" xfId="0" applyFont="1" applyFill="1" applyBorder="1"/>
    <xf numFmtId="0" fontId="54" fillId="0" borderId="0" xfId="0" applyFont="1"/>
    <xf numFmtId="0" fontId="39" fillId="23" borderId="0" xfId="0" applyFont="1" applyFill="1" applyAlignment="1">
      <alignment horizontal="left" vertical="top" wrapText="1"/>
    </xf>
    <xf numFmtId="0" fontId="34" fillId="23" borderId="0" xfId="0" applyFont="1" applyFill="1" applyAlignment="1">
      <alignment horizontal="left" vertical="center" wrapText="1"/>
    </xf>
    <xf numFmtId="0" fontId="53" fillId="23" borderId="55" xfId="0" applyFont="1" applyFill="1" applyBorder="1" applyAlignment="1">
      <alignment horizontal="center" vertical="top"/>
    </xf>
    <xf numFmtId="0" fontId="28" fillId="23" borderId="55" xfId="0" applyFont="1" applyFill="1" applyBorder="1" applyAlignment="1">
      <alignment horizontal="center"/>
    </xf>
    <xf numFmtId="0" fontId="28" fillId="23" borderId="0" xfId="0" applyFont="1" applyFill="1" applyAlignment="1">
      <alignment wrapText="1"/>
    </xf>
    <xf numFmtId="0" fontId="28" fillId="23" borderId="0" xfId="0" applyFont="1" applyFill="1"/>
    <xf numFmtId="0" fontId="39" fillId="27" borderId="0" xfId="0" applyFont="1" applyFill="1" applyAlignment="1">
      <alignment horizontal="center"/>
    </xf>
    <xf numFmtId="0" fontId="0" fillId="0" borderId="55" xfId="0" applyBorder="1"/>
    <xf numFmtId="0" fontId="57" fillId="0" borderId="0" xfId="0" applyFont="1"/>
    <xf numFmtId="0" fontId="58" fillId="0" borderId="0" xfId="0" applyFont="1"/>
    <xf numFmtId="164" fontId="4" fillId="0" borderId="54" xfId="5" applyNumberFormat="1" applyFont="1" applyBorder="1" applyAlignment="1">
      <alignment horizontal="center"/>
    </xf>
    <xf numFmtId="164" fontId="4" fillId="0" borderId="0" xfId="5" applyNumberFormat="1" applyFont="1" applyAlignment="1">
      <alignment horizontal="center"/>
    </xf>
    <xf numFmtId="164" fontId="1" fillId="0" borderId="1" xfId="0" applyNumberFormat="1" applyFont="1" applyBorder="1" applyAlignment="1">
      <alignment horizontal="left"/>
    </xf>
    <xf numFmtId="3" fontId="7" fillId="0" borderId="2" xfId="0" applyNumberFormat="1" applyFont="1" applyBorder="1" applyAlignment="1">
      <alignment horizontal="left"/>
    </xf>
    <xf numFmtId="3" fontId="2" fillId="0" borderId="2" xfId="0" applyNumberFormat="1" applyFont="1" applyBorder="1" applyAlignment="1">
      <alignment horizontal="left"/>
    </xf>
    <xf numFmtId="0" fontId="2" fillId="0" borderId="2" xfId="0" applyFont="1" applyBorder="1"/>
    <xf numFmtId="164" fontId="4" fillId="0" borderId="8" xfId="0" applyNumberFormat="1" applyFont="1" applyBorder="1" applyAlignment="1">
      <alignment horizontal="center"/>
    </xf>
    <xf numFmtId="164" fontId="10" fillId="0" borderId="0" xfId="0" applyNumberFormat="1" applyFont="1" applyAlignment="1">
      <alignment horizontal="center"/>
    </xf>
    <xf numFmtId="164" fontId="16" fillId="0" borderId="1" xfId="0" applyNumberFormat="1" applyFont="1" applyBorder="1" applyAlignment="1">
      <alignment horizontal="left"/>
    </xf>
    <xf numFmtId="164" fontId="5" fillId="0" borderId="3" xfId="4" applyBorder="1"/>
    <xf numFmtId="0" fontId="7" fillId="0" borderId="3" xfId="0" applyFont="1" applyBorder="1"/>
    <xf numFmtId="0" fontId="2" fillId="0" borderId="1" xfId="0" applyFont="1" applyBorder="1"/>
    <xf numFmtId="164" fontId="4" fillId="0" borderId="5" xfId="0" applyNumberFormat="1" applyFont="1" applyBorder="1"/>
    <xf numFmtId="164" fontId="4" fillId="0" borderId="0" xfId="0" applyNumberFormat="1" applyFont="1" applyAlignment="1">
      <alignment wrapText="1"/>
    </xf>
    <xf numFmtId="0" fontId="2" fillId="0" borderId="0" xfId="0" applyFont="1" applyAlignment="1">
      <alignment wrapText="1"/>
    </xf>
    <xf numFmtId="164" fontId="4" fillId="0" borderId="2" xfId="0" applyNumberFormat="1" applyFont="1" applyBorder="1" applyAlignment="1">
      <alignment horizontal="left"/>
    </xf>
    <xf numFmtId="164" fontId="10" fillId="0" borderId="1" xfId="0" applyNumberFormat="1" applyFont="1" applyBorder="1" applyAlignment="1">
      <alignment horizontal="center"/>
    </xf>
    <xf numFmtId="0" fontId="2" fillId="0" borderId="1" xfId="0" applyFont="1" applyBorder="1" applyAlignment="1">
      <alignment horizontal="center"/>
    </xf>
    <xf numFmtId="1" fontId="1" fillId="0" borderId="1" xfId="0" applyNumberFormat="1" applyFont="1" applyBorder="1" applyAlignment="1">
      <alignment horizontal="left"/>
    </xf>
    <xf numFmtId="1" fontId="2" fillId="0" borderId="1" xfId="0" applyNumberFormat="1" applyFont="1" applyBorder="1"/>
    <xf numFmtId="164" fontId="4" fillId="0" borderId="8" xfId="0" applyNumberFormat="1" applyFont="1" applyBorder="1"/>
    <xf numFmtId="10" fontId="4" fillId="0" borderId="0" xfId="0" applyNumberFormat="1" applyFont="1" applyAlignment="1">
      <alignment horizontal="center"/>
    </xf>
    <xf numFmtId="0" fontId="2" fillId="0" borderId="0" xfId="0" applyFont="1" applyAlignment="1">
      <alignment horizontal="center"/>
    </xf>
    <xf numFmtId="0" fontId="2" fillId="0" borderId="0" xfId="0" applyFont="1"/>
    <xf numFmtId="0" fontId="2" fillId="0" borderId="8" xfId="0" applyFont="1" applyBorder="1" applyAlignment="1">
      <alignment horizontal="center"/>
    </xf>
    <xf numFmtId="164" fontId="4" fillId="0" borderId="0" xfId="0" applyNumberFormat="1" applyFont="1" applyAlignment="1">
      <alignment horizontal="center"/>
    </xf>
    <xf numFmtId="164" fontId="4" fillId="0" borderId="0" xfId="1" applyNumberFormat="1" applyFont="1" applyFill="1" applyBorder="1" applyAlignment="1" applyProtection="1">
      <alignment shrinkToFit="1"/>
    </xf>
    <xf numFmtId="164" fontId="2" fillId="0" borderId="0" xfId="0" applyNumberFormat="1" applyFont="1"/>
    <xf numFmtId="0" fontId="2" fillId="0" borderId="8" xfId="0" applyFont="1" applyBorder="1"/>
    <xf numFmtId="10" fontId="8" fillId="0" borderId="3" xfId="0" applyNumberFormat="1" applyFont="1" applyBorder="1"/>
    <xf numFmtId="0" fontId="2" fillId="0" borderId="3" xfId="0" applyFont="1" applyBorder="1"/>
    <xf numFmtId="164" fontId="4" fillId="0" borderId="9" xfId="0" applyNumberFormat="1" applyFont="1" applyBorder="1"/>
    <xf numFmtId="164" fontId="4" fillId="0" borderId="5" xfId="0" applyNumberFormat="1" applyFont="1" applyBorder="1" applyAlignment="1">
      <alignment horizontal="center"/>
    </xf>
    <xf numFmtId="164" fontId="4" fillId="0" borderId="4" xfId="0" applyNumberFormat="1" applyFont="1" applyBorder="1"/>
    <xf numFmtId="0" fontId="2" fillId="0" borderId="4" xfId="0" applyFont="1" applyBorder="1"/>
    <xf numFmtId="0" fontId="39" fillId="28" borderId="0" xfId="0" applyFont="1" applyFill="1" applyAlignment="1">
      <alignment horizontal="center"/>
    </xf>
    <xf numFmtId="0" fontId="39" fillId="26" borderId="0" xfId="0" applyFont="1" applyFill="1" applyAlignment="1">
      <alignment horizontal="left"/>
    </xf>
    <xf numFmtId="14" fontId="37" fillId="20" borderId="0" xfId="0" applyNumberFormat="1" applyFont="1" applyFill="1" applyAlignment="1">
      <alignment horizontal="center"/>
    </xf>
    <xf numFmtId="14" fontId="38" fillId="20" borderId="0" xfId="0" applyNumberFormat="1" applyFont="1" applyFill="1" applyAlignment="1">
      <alignment horizontal="center"/>
    </xf>
    <xf numFmtId="0" fontId="40" fillId="20" borderId="58" xfId="0" applyFont="1" applyFill="1" applyBorder="1" applyAlignment="1">
      <alignment horizontal="center" vertical="center"/>
    </xf>
    <xf numFmtId="0" fontId="40" fillId="20" borderId="60" xfId="0" applyFont="1" applyFill="1" applyBorder="1" applyAlignment="1">
      <alignment horizontal="center" vertical="center"/>
    </xf>
    <xf numFmtId="0" fontId="21" fillId="12" borderId="50" xfId="0" applyFont="1" applyFill="1" applyBorder="1"/>
    <xf numFmtId="0" fontId="48" fillId="12" borderId="50" xfId="0" applyFont="1" applyFill="1" applyBorder="1"/>
    <xf numFmtId="0" fontId="50" fillId="14" borderId="50" xfId="0" applyFont="1" applyFill="1" applyBorder="1"/>
    <xf numFmtId="0" fontId="47" fillId="14" borderId="50" xfId="0" applyFont="1" applyFill="1" applyBorder="1"/>
    <xf numFmtId="0" fontId="21" fillId="14" borderId="50" xfId="0" applyFont="1" applyFill="1" applyBorder="1"/>
    <xf numFmtId="0" fontId="21" fillId="10" borderId="50" xfId="0" applyFont="1" applyFill="1" applyBorder="1"/>
    <xf numFmtId="0" fontId="46" fillId="12" borderId="50" xfId="0" applyFont="1" applyFill="1" applyBorder="1"/>
    <xf numFmtId="0" fontId="21" fillId="12" borderId="50" xfId="0" applyFont="1" applyFill="1" applyBorder="1" applyAlignment="1">
      <alignment wrapText="1"/>
    </xf>
  </cellXfs>
  <cellStyles count="6">
    <cellStyle name="Comma 5" xfId="1" xr:uid="{EDFB7CC2-9328-4FF6-A3AA-59E76D61A08C}"/>
    <cellStyle name="Currency 5" xfId="2" xr:uid="{C2D293EC-2E57-4DEC-8951-52E338866B8B}"/>
    <cellStyle name="Normal" xfId="0" builtinId="0"/>
    <cellStyle name="Normal_Sheet1" xfId="5" xr:uid="{CCB6DE89-71B7-4E66-AE2B-573ED18385C1}"/>
    <cellStyle name="Percent 5" xfId="3" xr:uid="{BD95246A-AA95-478B-B1DA-A8A58F193276}"/>
    <cellStyle name="SectionHeader 4" xfId="4" xr:uid="{002ACB7C-B8FA-483E-891B-F8ABDA15F37F}"/>
  </cellStyles>
  <dxfs count="10">
    <dxf>
      <fill>
        <patternFill>
          <bgColor theme="3" tint="0.499984740745262"/>
        </patternFill>
      </fill>
    </dxf>
    <dxf>
      <fill>
        <patternFill>
          <bgColor theme="2" tint="-9.9948118533890809E-2"/>
        </patternFill>
      </fill>
    </dxf>
    <dxf>
      <fill>
        <patternFill>
          <bgColor theme="2" tint="-9.9948118533890809E-2"/>
        </patternFill>
      </fill>
    </dxf>
    <dxf>
      <fill>
        <patternFill>
          <bgColor theme="2" tint="-0.24994659260841701"/>
        </patternFill>
      </fill>
    </dxf>
    <dxf>
      <fill>
        <patternFill>
          <bgColor theme="1" tint="0.499984740745262"/>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eetMetadata" Target="metadata.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alcChain" Target="calcChain.xml"/></Relationships>
</file>

<file path=xl/ctrlProps/ctrlProp1.xml><?xml version="1.0" encoding="utf-8"?>
<formControlPr xmlns="http://schemas.microsoft.com/office/spreadsheetml/2009/9/main" objectType="CheckBox" fmlaLink="$C$1" lockText="1" noThreeD="1"/>
</file>

<file path=xl/ctrlProps/ctrlProp2.xml><?xml version="1.0" encoding="utf-8"?>
<formControlPr xmlns="http://schemas.microsoft.com/office/spreadsheetml/2009/9/main" objectType="CheckBox" fmlaLink="$C$15" lockText="1" noThreeD="1"/>
</file>

<file path=xl/ctrlProps/ctrlProp3.xml><?xml version="1.0" encoding="utf-8"?>
<formControlPr xmlns="http://schemas.microsoft.com/office/spreadsheetml/2009/9/main" objectType="CheckBox" fmlaLink="$C$23" lockText="1" noThreeD="1"/>
</file>

<file path=xl/ctrlProps/ctrlProp4.xml><?xml version="1.0" encoding="utf-8"?>
<formControlPr xmlns="http://schemas.microsoft.com/office/spreadsheetml/2009/9/main" objectType="CheckBox" fmlaLink="$C$26" lockText="1" noThreeD="1"/>
</file>

<file path=xl/ctrlProps/ctrlProp5.xml><?xml version="1.0" encoding="utf-8"?>
<formControlPr xmlns="http://schemas.microsoft.com/office/spreadsheetml/2009/9/main" objectType="CheckBox" fmlaLink="$C$31" lockText="1" noThreeD="1"/>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1</xdr:rowOff>
    </xdr:from>
    <xdr:to>
      <xdr:col>0</xdr:col>
      <xdr:colOff>1981200</xdr:colOff>
      <xdr:row>4</xdr:row>
      <xdr:rowOff>198782</xdr:rowOff>
    </xdr:to>
    <xdr:pic>
      <xdr:nvPicPr>
        <xdr:cNvPr id="2" name="Picture 1">
          <a:extLst>
            <a:ext uri="{FF2B5EF4-FFF2-40B4-BE49-F238E27FC236}">
              <a16:creationId xmlns:a16="http://schemas.microsoft.com/office/drawing/2014/main" id="{89BBE35B-947A-1DCB-487D-E1D6C3DFD0E7}"/>
            </a:ext>
          </a:extLst>
        </xdr:cNvPr>
        <xdr:cNvPicPr>
          <a:picLocks noChangeAspect="1"/>
        </xdr:cNvPicPr>
      </xdr:nvPicPr>
      <xdr:blipFill>
        <a:blip xmlns:r="http://schemas.openxmlformats.org/officeDocument/2006/relationships" r:embed="rId1"/>
        <a:stretch>
          <a:fillRect/>
        </a:stretch>
      </xdr:blipFill>
      <xdr:spPr>
        <a:xfrm>
          <a:off x="0" y="1"/>
          <a:ext cx="1981200" cy="10318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xdr:from>
      <xdr:col>3</xdr:col>
      <xdr:colOff>0</xdr:colOff>
      <xdr:row>9</xdr:row>
      <xdr:rowOff>0</xdr:rowOff>
    </xdr:from>
    <xdr:ext cx="184731" cy="937693"/>
    <xdr:sp macro="" textlink="">
      <xdr:nvSpPr>
        <xdr:cNvPr id="2" name="Rectangle 1">
          <a:extLst>
            <a:ext uri="{FF2B5EF4-FFF2-40B4-BE49-F238E27FC236}">
              <a16:creationId xmlns:a16="http://schemas.microsoft.com/office/drawing/2014/main" id="{F309B51C-558A-64D9-9A45-8307B58AE098}"/>
            </a:ext>
          </a:extLst>
        </xdr:cNvPr>
        <xdr:cNvSpPr/>
      </xdr:nvSpPr>
      <xdr:spPr>
        <a:xfrm>
          <a:off x="5429158" y="1522474"/>
          <a:ext cx="184731" cy="937693"/>
        </a:xfrm>
        <a:prstGeom prst="rect">
          <a:avLst/>
        </a:prstGeom>
        <a:noFill/>
      </xdr:spPr>
      <xdr:txBody>
        <a:bodyPr wrap="none" lIns="91440" tIns="45720" rIns="91440" bIns="45720">
          <a:spAutoFit/>
          <a:scene3d>
            <a:camera prst="orthographicFront"/>
            <a:lightRig rig="harsh" dir="t"/>
          </a:scene3d>
          <a:sp3d extrusionH="57150" prstMaterial="matte">
            <a:bevelT w="63500" h="12700" prst="angle"/>
            <a:contourClr>
              <a:schemeClr val="bg1">
                <a:lumMod val="65000"/>
              </a:schemeClr>
            </a:contourClr>
          </a:sp3d>
        </a:bodyPr>
        <a:lstStyle/>
        <a:p>
          <a:pPr algn="ctr"/>
          <a:endParaRPr lang="en-US" sz="5400" b="1" cap="none" spc="0">
            <a:ln/>
            <a:solidFill>
              <a:schemeClr val="accent3"/>
            </a:solidFill>
            <a:effectLst/>
          </a:endParaRPr>
        </a:p>
      </xdr:txBody>
    </xdr:sp>
    <xdr:clientData/>
  </xdr:one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4</xdr:row>
      <xdr:rowOff>124515</xdr:rowOff>
    </xdr:from>
    <xdr:to>
      <xdr:col>6</xdr:col>
      <xdr:colOff>187325</xdr:colOff>
      <xdr:row>22</xdr:row>
      <xdr:rowOff>130118</xdr:rowOff>
    </xdr:to>
    <xdr:pic>
      <xdr:nvPicPr>
        <xdr:cNvPr id="2" name="Picture 1">
          <a:extLst>
            <a:ext uri="{FF2B5EF4-FFF2-40B4-BE49-F238E27FC236}">
              <a16:creationId xmlns:a16="http://schemas.microsoft.com/office/drawing/2014/main" id="{C6BBF81F-EB9E-4C64-997E-851A68F34E3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937315"/>
          <a:ext cx="6664325" cy="366320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13</xdr:col>
      <xdr:colOff>352425</xdr:colOff>
      <xdr:row>2</xdr:row>
      <xdr:rowOff>47625</xdr:rowOff>
    </xdr:from>
    <xdr:to>
      <xdr:col>21</xdr:col>
      <xdr:colOff>225011</xdr:colOff>
      <xdr:row>23</xdr:row>
      <xdr:rowOff>111872</xdr:rowOff>
    </xdr:to>
    <xdr:pic>
      <xdr:nvPicPr>
        <xdr:cNvPr id="3" name="Picture 2">
          <a:extLst>
            <a:ext uri="{FF2B5EF4-FFF2-40B4-BE49-F238E27FC236}">
              <a16:creationId xmlns:a16="http://schemas.microsoft.com/office/drawing/2014/main" id="{A944D99D-E813-437F-8EE8-079ECEEEE83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1087100" y="523875"/>
          <a:ext cx="5358986" cy="42957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1960491</xdr:colOff>
      <xdr:row>19</xdr:row>
      <xdr:rowOff>169794</xdr:rowOff>
    </xdr:from>
    <xdr:to>
      <xdr:col>1</xdr:col>
      <xdr:colOff>728869</xdr:colOff>
      <xdr:row>20</xdr:row>
      <xdr:rowOff>186360</xdr:rowOff>
    </xdr:to>
    <xdr:sp macro="" textlink="">
      <xdr:nvSpPr>
        <xdr:cNvPr id="4" name="TextBox 3">
          <a:extLst>
            <a:ext uri="{FF2B5EF4-FFF2-40B4-BE49-F238E27FC236}">
              <a16:creationId xmlns:a16="http://schemas.microsoft.com/office/drawing/2014/main" id="{B57CE1A9-0E70-95B7-C77B-AA3BAA4FBA7E}"/>
            </a:ext>
          </a:extLst>
        </xdr:cNvPr>
        <xdr:cNvSpPr txBox="1"/>
      </xdr:nvSpPr>
      <xdr:spPr>
        <a:xfrm>
          <a:off x="1960491" y="4627494"/>
          <a:ext cx="1883053" cy="207066"/>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a:t>RENAME</a:t>
          </a:r>
          <a:r>
            <a:rPr lang="en-US" sz="1000" baseline="0"/>
            <a:t> THE NEW FILE HERE </a:t>
          </a:r>
          <a:br>
            <a:rPr lang="en-US" sz="1000" baseline="0"/>
          </a:br>
          <a:endParaRPr lang="en-US" sz="1000"/>
        </a:p>
      </xdr:txBody>
    </xdr:sp>
    <xdr:clientData/>
  </xdr:twoCellAnchor>
  <xdr:twoCellAnchor>
    <xdr:from>
      <xdr:col>0</xdr:col>
      <xdr:colOff>2303808</xdr:colOff>
      <xdr:row>19</xdr:row>
      <xdr:rowOff>52181</xdr:rowOff>
    </xdr:from>
    <xdr:to>
      <xdr:col>0</xdr:col>
      <xdr:colOff>2747756</xdr:colOff>
      <xdr:row>19</xdr:row>
      <xdr:rowOff>184702</xdr:rowOff>
    </xdr:to>
    <xdr:cxnSp macro="">
      <xdr:nvCxnSpPr>
        <xdr:cNvPr id="6" name="Straight Arrow Connector 5">
          <a:extLst>
            <a:ext uri="{FF2B5EF4-FFF2-40B4-BE49-F238E27FC236}">
              <a16:creationId xmlns:a16="http://schemas.microsoft.com/office/drawing/2014/main" id="{EA811529-62C8-0981-543B-6614E8D328FB}"/>
            </a:ext>
          </a:extLst>
        </xdr:cNvPr>
        <xdr:cNvCxnSpPr/>
      </xdr:nvCxnSpPr>
      <xdr:spPr>
        <a:xfrm flipH="1" flipV="1">
          <a:off x="2303808" y="4509881"/>
          <a:ext cx="443948" cy="132521"/>
        </a:xfrm>
        <a:prstGeom prst="straightConnector1">
          <a:avLst/>
        </a:prstGeom>
        <a:ln>
          <a:solidFill>
            <a:schemeClr val="tx1"/>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xdr:col>
      <xdr:colOff>20706</xdr:colOff>
      <xdr:row>4</xdr:row>
      <xdr:rowOff>2900</xdr:rowOff>
    </xdr:from>
    <xdr:to>
      <xdr:col>5</xdr:col>
      <xdr:colOff>130037</xdr:colOff>
      <xdr:row>5</xdr:row>
      <xdr:rowOff>79100</xdr:rowOff>
    </xdr:to>
    <xdr:sp macro="" textlink="">
      <xdr:nvSpPr>
        <xdr:cNvPr id="8" name="TextBox 7">
          <a:extLst>
            <a:ext uri="{FF2B5EF4-FFF2-40B4-BE49-F238E27FC236}">
              <a16:creationId xmlns:a16="http://schemas.microsoft.com/office/drawing/2014/main" id="{89AFA7D2-A1E3-4639-B87E-975269360CF3}"/>
            </a:ext>
          </a:extLst>
        </xdr:cNvPr>
        <xdr:cNvSpPr txBox="1"/>
      </xdr:nvSpPr>
      <xdr:spPr>
        <a:xfrm>
          <a:off x="3135381" y="1603100"/>
          <a:ext cx="2690606" cy="26670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a:t>REFERENCE ON HOW</a:t>
          </a:r>
          <a:r>
            <a:rPr lang="en-US" sz="1000" baseline="0"/>
            <a:t> TO SET UP EXCEL MAIN </a:t>
          </a:r>
          <a:endParaRPr lang="en-US" sz="1000"/>
        </a:p>
      </xdr:txBody>
    </xdr:sp>
    <xdr:clientData/>
  </xdr:twoCellAnchor>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152400</xdr:colOff>
          <xdr:row>0</xdr:row>
          <xdr:rowOff>28575</xdr:rowOff>
        </xdr:from>
        <xdr:to>
          <xdr:col>1</xdr:col>
          <xdr:colOff>438150</xdr:colOff>
          <xdr:row>0</xdr:row>
          <xdr:rowOff>352425</xdr:rowOff>
        </xdr:to>
        <xdr:sp macro="" textlink="">
          <xdr:nvSpPr>
            <xdr:cNvPr id="21507" name="Check Box 3" hidden="1">
              <a:extLst>
                <a:ext uri="{63B3BB69-23CF-44E3-9099-C40C66FF867C}">
                  <a14:compatExt spid="_x0000_s21507"/>
                </a:ext>
                <a:ext uri="{FF2B5EF4-FFF2-40B4-BE49-F238E27FC236}">
                  <a16:creationId xmlns:a16="http://schemas.microsoft.com/office/drawing/2014/main" id="{00000000-0008-0000-1400-0000035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152400</xdr:colOff>
          <xdr:row>14</xdr:row>
          <xdr:rowOff>57150</xdr:rowOff>
        </xdr:from>
        <xdr:to>
          <xdr:col>1</xdr:col>
          <xdr:colOff>447675</xdr:colOff>
          <xdr:row>14</xdr:row>
          <xdr:rowOff>381000</xdr:rowOff>
        </xdr:to>
        <xdr:sp macro="" textlink="">
          <xdr:nvSpPr>
            <xdr:cNvPr id="21508" name="Check Box 4" hidden="1">
              <a:extLst>
                <a:ext uri="{63B3BB69-23CF-44E3-9099-C40C66FF867C}">
                  <a14:compatExt spid="_x0000_s21508"/>
                </a:ext>
                <a:ext uri="{FF2B5EF4-FFF2-40B4-BE49-F238E27FC236}">
                  <a16:creationId xmlns:a16="http://schemas.microsoft.com/office/drawing/2014/main" id="{00000000-0008-0000-1400-0000045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152400</xdr:colOff>
          <xdr:row>22</xdr:row>
          <xdr:rowOff>38100</xdr:rowOff>
        </xdr:from>
        <xdr:to>
          <xdr:col>1</xdr:col>
          <xdr:colOff>447675</xdr:colOff>
          <xdr:row>22</xdr:row>
          <xdr:rowOff>371475</xdr:rowOff>
        </xdr:to>
        <xdr:sp macro="" textlink="">
          <xdr:nvSpPr>
            <xdr:cNvPr id="21509" name="Check Box 5" hidden="1">
              <a:extLst>
                <a:ext uri="{63B3BB69-23CF-44E3-9099-C40C66FF867C}">
                  <a14:compatExt spid="_x0000_s21509"/>
                </a:ext>
                <a:ext uri="{FF2B5EF4-FFF2-40B4-BE49-F238E27FC236}">
                  <a16:creationId xmlns:a16="http://schemas.microsoft.com/office/drawing/2014/main" id="{00000000-0008-0000-1400-0000055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161925</xdr:colOff>
          <xdr:row>25</xdr:row>
          <xdr:rowOff>38100</xdr:rowOff>
        </xdr:from>
        <xdr:to>
          <xdr:col>1</xdr:col>
          <xdr:colOff>447675</xdr:colOff>
          <xdr:row>25</xdr:row>
          <xdr:rowOff>371475</xdr:rowOff>
        </xdr:to>
        <xdr:sp macro="" textlink="">
          <xdr:nvSpPr>
            <xdr:cNvPr id="21510" name="Check Box 6" hidden="1">
              <a:extLst>
                <a:ext uri="{63B3BB69-23CF-44E3-9099-C40C66FF867C}">
                  <a14:compatExt spid="_x0000_s21510"/>
                </a:ext>
                <a:ext uri="{FF2B5EF4-FFF2-40B4-BE49-F238E27FC236}">
                  <a16:creationId xmlns:a16="http://schemas.microsoft.com/office/drawing/2014/main" id="{00000000-0008-0000-1400-0000065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161925</xdr:colOff>
          <xdr:row>30</xdr:row>
          <xdr:rowOff>19050</xdr:rowOff>
        </xdr:from>
        <xdr:to>
          <xdr:col>1</xdr:col>
          <xdr:colOff>447675</xdr:colOff>
          <xdr:row>30</xdr:row>
          <xdr:rowOff>352425</xdr:rowOff>
        </xdr:to>
        <xdr:sp macro="" textlink="">
          <xdr:nvSpPr>
            <xdr:cNvPr id="21511" name="Check Box 7" hidden="1">
              <a:extLst>
                <a:ext uri="{63B3BB69-23CF-44E3-9099-C40C66FF867C}">
                  <a14:compatExt spid="_x0000_s21511"/>
                </a:ext>
                <a:ext uri="{FF2B5EF4-FFF2-40B4-BE49-F238E27FC236}">
                  <a16:creationId xmlns:a16="http://schemas.microsoft.com/office/drawing/2014/main" id="{00000000-0008-0000-1400-0000075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1.xml.rels><?xml version="1.0" encoding="UTF-8" standalone="yes"?>
<Relationships xmlns="http://schemas.openxmlformats.org/package/2006/relationships"><Relationship Id="rId3" Type="http://schemas.openxmlformats.org/officeDocument/2006/relationships/ctrlProp" Target="../ctrlProps/ctrlProp1.xml"/><Relationship Id="rId7" Type="http://schemas.openxmlformats.org/officeDocument/2006/relationships/ctrlProp" Target="../ctrlProps/ctrlProp5.xml"/><Relationship Id="rId2" Type="http://schemas.openxmlformats.org/officeDocument/2006/relationships/vmlDrawing" Target="../drawings/vmlDrawing2.vml"/><Relationship Id="rId1" Type="http://schemas.openxmlformats.org/officeDocument/2006/relationships/drawing" Target="../drawings/drawing4.xml"/><Relationship Id="rId6" Type="http://schemas.openxmlformats.org/officeDocument/2006/relationships/ctrlProp" Target="../ctrlProps/ctrlProp4.xml"/><Relationship Id="rId5" Type="http://schemas.openxmlformats.org/officeDocument/2006/relationships/ctrlProp" Target="../ctrlProps/ctrlProp3.xml"/><Relationship Id="rId4" Type="http://schemas.openxmlformats.org/officeDocument/2006/relationships/ctrlProp" Target="../ctrlProps/ctrlProp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7EF1B8-BA23-4B10-8B8B-9124122905C5}">
  <sheetPr>
    <tabColor rgb="FFFF0000"/>
  </sheetPr>
  <dimension ref="A1:M56"/>
  <sheetViews>
    <sheetView tabSelected="1" zoomScale="115" zoomScaleNormal="115" workbookViewId="0">
      <selection activeCell="B17" sqref="B17"/>
    </sheetView>
  </sheetViews>
  <sheetFormatPr defaultRowHeight="15" x14ac:dyDescent="0.25"/>
  <cols>
    <col min="1" max="1" width="29.85546875" bestFit="1" customWidth="1"/>
    <col min="2" max="2" width="102.85546875" bestFit="1" customWidth="1"/>
    <col min="3" max="3" width="63.7109375" bestFit="1" customWidth="1"/>
  </cols>
  <sheetData>
    <row r="1" spans="1:13" ht="18" thickBot="1" x14ac:dyDescent="0.3">
      <c r="A1" s="481"/>
      <c r="B1" s="534" t="s">
        <v>1023</v>
      </c>
    </row>
    <row r="2" spans="1:13" ht="15.75" customHeight="1" x14ac:dyDescent="0.25">
      <c r="A2" s="481"/>
      <c r="B2" s="499" t="s">
        <v>1111</v>
      </c>
    </row>
    <row r="3" spans="1:13" ht="15.75" customHeight="1" x14ac:dyDescent="0.25">
      <c r="A3" s="481"/>
      <c r="B3" s="500" t="s">
        <v>1059</v>
      </c>
    </row>
    <row r="4" spans="1:13" ht="15.75" customHeight="1" x14ac:dyDescent="0.25">
      <c r="A4" s="481"/>
      <c r="B4" s="500" t="s">
        <v>1058</v>
      </c>
    </row>
    <row r="5" spans="1:13" ht="15.75" customHeight="1" x14ac:dyDescent="0.25">
      <c r="A5" s="481"/>
      <c r="B5" s="500" t="s">
        <v>713</v>
      </c>
    </row>
    <row r="6" spans="1:13" ht="16.5" x14ac:dyDescent="0.3">
      <c r="A6" s="399"/>
      <c r="B6" s="473"/>
    </row>
    <row r="7" spans="1:13" ht="16.5" thickBot="1" x14ac:dyDescent="0.3">
      <c r="A7" s="483"/>
      <c r="B7" s="482" t="s">
        <v>1022</v>
      </c>
      <c r="C7" s="484"/>
    </row>
    <row r="8" spans="1:13" ht="16.5" thickBot="1" x14ac:dyDescent="0.3">
      <c r="A8" s="472" t="s">
        <v>710</v>
      </c>
      <c r="B8" s="509">
        <v>46199</v>
      </c>
      <c r="C8" s="397"/>
      <c r="D8" s="397"/>
      <c r="E8" s="397"/>
      <c r="F8" s="397"/>
      <c r="G8" s="397"/>
      <c r="H8" s="397"/>
      <c r="I8" s="392"/>
      <c r="J8" s="392"/>
      <c r="K8" s="392"/>
      <c r="L8" s="392"/>
      <c r="M8" s="392"/>
    </row>
    <row r="9" spans="1:13" ht="16.5" thickBot="1" x14ac:dyDescent="0.3">
      <c r="A9" s="472" t="s">
        <v>996</v>
      </c>
      <c r="B9" s="509">
        <v>47239</v>
      </c>
      <c r="C9" s="397"/>
      <c r="D9" s="397"/>
      <c r="E9" s="397"/>
      <c r="F9" s="397"/>
      <c r="G9" s="397"/>
      <c r="H9" s="398"/>
      <c r="I9" s="392"/>
      <c r="J9" s="392"/>
      <c r="K9" s="392"/>
      <c r="L9" s="392"/>
      <c r="M9" s="392"/>
    </row>
    <row r="10" spans="1:13" ht="16.5" thickBot="1" x14ac:dyDescent="0.3">
      <c r="A10" s="472" t="s">
        <v>997</v>
      </c>
      <c r="B10" s="392" t="s">
        <v>1178</v>
      </c>
      <c r="C10" s="397"/>
      <c r="D10" s="397"/>
      <c r="E10" s="397"/>
      <c r="F10" s="397"/>
      <c r="G10" s="397"/>
      <c r="H10" s="397"/>
      <c r="I10" s="392"/>
      <c r="J10" s="392"/>
      <c r="K10" s="392"/>
      <c r="L10" s="392"/>
      <c r="M10" s="392"/>
    </row>
    <row r="11" spans="1:13" ht="16.5" thickBot="1" x14ac:dyDescent="0.3">
      <c r="A11" s="472" t="s">
        <v>992</v>
      </c>
      <c r="B11" s="406" t="str">
        <f ca="1">TEXT(TODAY(),"mm/dd/yyyy")</f>
        <v>07/30/2026</v>
      </c>
      <c r="C11" s="397"/>
      <c r="D11" s="397"/>
      <c r="E11" s="397"/>
      <c r="F11" s="397"/>
      <c r="G11" s="397"/>
      <c r="H11" s="397"/>
      <c r="I11" s="392"/>
      <c r="J11" s="392"/>
      <c r="K11" s="392"/>
      <c r="L11" s="392"/>
      <c r="M11" s="392"/>
    </row>
    <row r="12" spans="1:13" ht="16.5" thickBot="1" x14ac:dyDescent="0.3">
      <c r="A12" s="472" t="s">
        <v>998</v>
      </c>
      <c r="B12" s="510"/>
      <c r="D12" s="397"/>
      <c r="E12" s="397"/>
      <c r="F12" s="397"/>
      <c r="G12" s="397"/>
      <c r="H12" s="397"/>
      <c r="I12" s="392"/>
      <c r="J12" s="392"/>
      <c r="K12" s="392"/>
      <c r="L12" s="392"/>
      <c r="M12" s="392"/>
    </row>
    <row r="13" spans="1:13" ht="41.25" customHeight="1" thickBot="1" x14ac:dyDescent="0.3">
      <c r="A13" s="472" t="s">
        <v>1057</v>
      </c>
      <c r="B13" s="510" t="s">
        <v>1179</v>
      </c>
      <c r="C13" s="508" t="s">
        <v>1134</v>
      </c>
      <c r="D13" s="397"/>
      <c r="E13" s="397"/>
      <c r="F13" s="397"/>
      <c r="G13" s="397"/>
      <c r="H13" s="397"/>
      <c r="I13" s="392"/>
      <c r="J13" s="392"/>
      <c r="K13" s="392"/>
      <c r="L13" s="392"/>
      <c r="M13" s="392"/>
    </row>
    <row r="14" spans="1:13" ht="16.5" thickBot="1" x14ac:dyDescent="0.3">
      <c r="A14" s="472" t="s">
        <v>1120</v>
      </c>
      <c r="B14" s="539"/>
    </row>
    <row r="15" spans="1:13" ht="15.75" x14ac:dyDescent="0.25">
      <c r="A15" s="397"/>
    </row>
    <row r="16" spans="1:13" ht="15.75" x14ac:dyDescent="0.25">
      <c r="A16" s="397"/>
    </row>
    <row r="17" spans="1:1" ht="15.75" x14ac:dyDescent="0.25">
      <c r="A17" s="397"/>
    </row>
    <row r="18" spans="1:1" ht="15.75" x14ac:dyDescent="0.25">
      <c r="A18" s="397"/>
    </row>
    <row r="19" spans="1:1" ht="15.75" x14ac:dyDescent="0.25">
      <c r="A19" s="397"/>
    </row>
    <row r="31" spans="1:1" x14ac:dyDescent="0.25">
      <c r="A31" s="540" t="s">
        <v>1056</v>
      </c>
    </row>
    <row r="32" spans="1:1" ht="15.75" x14ac:dyDescent="0.25">
      <c r="A32" s="541" t="s">
        <v>1121</v>
      </c>
    </row>
    <row r="33" spans="1:1" ht="15.75" x14ac:dyDescent="0.25">
      <c r="A33" s="541" t="s">
        <v>30</v>
      </c>
    </row>
    <row r="34" spans="1:1" ht="15.75" x14ac:dyDescent="0.25">
      <c r="A34" s="541" t="s">
        <v>31</v>
      </c>
    </row>
    <row r="35" spans="1:1" ht="15.75" x14ac:dyDescent="0.25">
      <c r="A35" s="541" t="s">
        <v>32</v>
      </c>
    </row>
    <row r="36" spans="1:1" ht="15.75" x14ac:dyDescent="0.25">
      <c r="A36" s="541" t="s">
        <v>33</v>
      </c>
    </row>
    <row r="37" spans="1:1" ht="15.75" x14ac:dyDescent="0.25">
      <c r="A37" s="541" t="s">
        <v>34</v>
      </c>
    </row>
    <row r="38" spans="1:1" ht="15.75" x14ac:dyDescent="0.25">
      <c r="A38" s="541" t="s">
        <v>975</v>
      </c>
    </row>
    <row r="39" spans="1:1" ht="15.75" x14ac:dyDescent="0.25">
      <c r="A39" s="541" t="s">
        <v>976</v>
      </c>
    </row>
    <row r="40" spans="1:1" ht="15.75" x14ac:dyDescent="0.25">
      <c r="A40" s="541" t="s">
        <v>977</v>
      </c>
    </row>
    <row r="41" spans="1:1" ht="15.75" x14ac:dyDescent="0.25">
      <c r="A41" s="541" t="s">
        <v>978</v>
      </c>
    </row>
    <row r="42" spans="1:1" ht="15.75" x14ac:dyDescent="0.25">
      <c r="A42" s="541" t="s">
        <v>1122</v>
      </c>
    </row>
    <row r="43" spans="1:1" ht="15.75" x14ac:dyDescent="0.25">
      <c r="A43" s="541" t="s">
        <v>28</v>
      </c>
    </row>
    <row r="44" spans="1:1" ht="15.75" x14ac:dyDescent="0.25">
      <c r="A44" s="541" t="s">
        <v>29</v>
      </c>
    </row>
    <row r="45" spans="1:1" ht="15.75" x14ac:dyDescent="0.25">
      <c r="A45" s="541" t="s">
        <v>979</v>
      </c>
    </row>
    <row r="46" spans="1:1" ht="15.75" x14ac:dyDescent="0.25">
      <c r="A46" s="541" t="s">
        <v>980</v>
      </c>
    </row>
    <row r="47" spans="1:1" ht="15.75" x14ac:dyDescent="0.25">
      <c r="A47" s="541" t="s">
        <v>981</v>
      </c>
    </row>
    <row r="48" spans="1:1" ht="15.75" x14ac:dyDescent="0.25">
      <c r="A48" s="541" t="s">
        <v>982</v>
      </c>
    </row>
    <row r="49" spans="1:1" ht="15.75" x14ac:dyDescent="0.25">
      <c r="A49" s="541" t="s">
        <v>983</v>
      </c>
    </row>
    <row r="50" spans="1:1" ht="15.75" x14ac:dyDescent="0.25">
      <c r="A50" s="541" t="s">
        <v>984</v>
      </c>
    </row>
    <row r="51" spans="1:1" ht="15.75" x14ac:dyDescent="0.25">
      <c r="A51" s="541" t="s">
        <v>985</v>
      </c>
    </row>
    <row r="52" spans="1:1" ht="15.75" x14ac:dyDescent="0.25">
      <c r="A52" s="541" t="s">
        <v>1123</v>
      </c>
    </row>
    <row r="53" spans="1:1" ht="15.75" x14ac:dyDescent="0.25">
      <c r="A53" s="541" t="s">
        <v>1124</v>
      </c>
    </row>
    <row r="54" spans="1:1" ht="15.75" x14ac:dyDescent="0.25">
      <c r="A54" s="541" t="s">
        <v>1125</v>
      </c>
    </row>
    <row r="55" spans="1:1" ht="15.75" x14ac:dyDescent="0.25">
      <c r="A55" s="541" t="s">
        <v>572</v>
      </c>
    </row>
    <row r="56" spans="1:1" ht="15.75" x14ac:dyDescent="0.25">
      <c r="A56" s="541" t="s">
        <v>230</v>
      </c>
    </row>
  </sheetData>
  <conditionalFormatting sqref="A32">
    <cfRule type="expression" dxfId="9" priority="5">
      <formula>$C52&lt;&gt;""</formula>
    </cfRule>
  </conditionalFormatting>
  <conditionalFormatting sqref="A33:A41">
    <cfRule type="expression" dxfId="8" priority="1">
      <formula>$C43&lt;&gt;""</formula>
    </cfRule>
  </conditionalFormatting>
  <conditionalFormatting sqref="A42">
    <cfRule type="expression" dxfId="7" priority="7">
      <formula>$C53&lt;&gt;""</formula>
    </cfRule>
  </conditionalFormatting>
  <conditionalFormatting sqref="A43:A51">
    <cfRule type="expression" dxfId="6" priority="9">
      <formula>$C33&lt;&gt;""</formula>
    </cfRule>
  </conditionalFormatting>
  <conditionalFormatting sqref="A52:A56">
    <cfRule type="expression" dxfId="5" priority="8">
      <formula>$C54&lt;&gt;""</formula>
    </cfRule>
  </conditionalFormatting>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C40D36-0B25-4255-A846-B1B6F07A1118}">
  <sheetPr>
    <tabColor rgb="FFFF0000"/>
  </sheetPr>
  <dimension ref="A1:AK735"/>
  <sheetViews>
    <sheetView topLeftCell="A3" zoomScaleNormal="100" workbookViewId="0">
      <selection activeCell="E23" sqref="E23"/>
    </sheetView>
  </sheetViews>
  <sheetFormatPr defaultColWidth="10.42578125" defaultRowHeight="15" x14ac:dyDescent="0.2"/>
  <cols>
    <col min="1" max="1" width="25.140625" style="7" customWidth="1"/>
    <col min="2" max="19" width="11.5703125" style="7" customWidth="1"/>
    <col min="20" max="24" width="10.42578125" style="7"/>
    <col min="25" max="25" width="11.85546875" style="7" customWidth="1"/>
    <col min="26" max="35" width="10.42578125" style="7"/>
    <col min="36" max="36" width="25.7109375" style="7" customWidth="1"/>
    <col min="37" max="16384" width="10.42578125" style="7"/>
  </cols>
  <sheetData>
    <row r="1" spans="1:22" ht="18.75" thickBot="1" x14ac:dyDescent="0.3">
      <c r="A1" s="544" t="s">
        <v>68</v>
      </c>
      <c r="B1" s="553"/>
      <c r="C1" s="553"/>
      <c r="D1" s="553"/>
      <c r="E1" s="553"/>
      <c r="F1" s="553"/>
      <c r="G1" s="553"/>
      <c r="H1" s="2"/>
      <c r="I1" s="3" t="s">
        <v>69</v>
      </c>
      <c r="J1" s="2"/>
      <c r="K1" s="2"/>
      <c r="L1" s="2"/>
      <c r="M1" s="2"/>
      <c r="N1" s="2"/>
      <c r="O1" s="2"/>
      <c r="P1" s="2"/>
      <c r="Q1" s="4"/>
      <c r="R1" s="5"/>
      <c r="S1" s="6"/>
      <c r="T1" s="6" t="s">
        <v>69</v>
      </c>
      <c r="V1" s="8" t="s">
        <v>70</v>
      </c>
    </row>
    <row r="2" spans="1:22" ht="15.75" x14ac:dyDescent="0.25">
      <c r="A2" s="545" t="s">
        <v>1135</v>
      </c>
      <c r="B2" s="547"/>
      <c r="C2" s="547"/>
      <c r="D2" s="547"/>
      <c r="E2" s="11"/>
      <c r="F2" s="12"/>
      <c r="G2" s="12"/>
      <c r="H2" s="11"/>
      <c r="I2" s="11"/>
      <c r="J2" s="12"/>
      <c r="K2" s="12"/>
      <c r="L2" s="10"/>
      <c r="M2" s="10"/>
      <c r="N2" s="10"/>
      <c r="O2" s="13" t="s">
        <v>71</v>
      </c>
      <c r="P2" s="14">
        <v>46210.286583449073</v>
      </c>
      <c r="Q2" s="15">
        <v>46210.286583449073</v>
      </c>
      <c r="R2" s="10"/>
      <c r="S2" s="13"/>
      <c r="T2" s="13" t="s">
        <v>72</v>
      </c>
    </row>
    <row r="3" spans="1:22" x14ac:dyDescent="0.2">
      <c r="A3" s="4"/>
      <c r="B3" s="4"/>
      <c r="C3" s="4"/>
      <c r="D3" s="4"/>
      <c r="E3" s="4"/>
      <c r="F3" s="4"/>
      <c r="G3" s="4"/>
      <c r="H3" s="4"/>
      <c r="I3" s="4"/>
      <c r="J3" s="4"/>
      <c r="K3" s="4"/>
      <c r="L3" s="4"/>
      <c r="M3" s="4"/>
      <c r="N3" s="4"/>
      <c r="O3" s="4"/>
      <c r="P3" s="4"/>
      <c r="Q3" s="4"/>
      <c r="R3" s="4"/>
      <c r="S3" s="16"/>
    </row>
    <row r="4" spans="1:22" x14ac:dyDescent="0.2">
      <c r="A4" s="17" t="s">
        <v>73</v>
      </c>
      <c r="B4" s="18"/>
      <c r="C4" s="19"/>
      <c r="D4" s="19"/>
      <c r="E4" s="4"/>
      <c r="F4" s="17" t="s">
        <v>74</v>
      </c>
      <c r="G4" s="18"/>
      <c r="H4" s="19"/>
      <c r="I4" s="19"/>
      <c r="J4" s="4"/>
      <c r="K4" s="20" t="s">
        <v>75</v>
      </c>
      <c r="L4" s="21"/>
      <c r="M4" s="21"/>
      <c r="N4" s="4"/>
      <c r="O4" s="4"/>
    </row>
    <row r="5" spans="1:22" x14ac:dyDescent="0.2">
      <c r="A5" s="22" t="s">
        <v>76</v>
      </c>
      <c r="B5" s="575" t="s">
        <v>1135</v>
      </c>
      <c r="C5" s="576"/>
      <c r="D5" s="576"/>
      <c r="E5" s="4"/>
      <c r="F5" s="23" t="s">
        <v>77</v>
      </c>
      <c r="I5" s="24">
        <v>46174</v>
      </c>
      <c r="J5" s="4"/>
      <c r="K5" s="4" t="s">
        <v>78</v>
      </c>
      <c r="M5" s="25">
        <v>3058756</v>
      </c>
      <c r="N5" s="4"/>
      <c r="O5" s="26" t="s">
        <v>79</v>
      </c>
      <c r="P5" s="26"/>
      <c r="Q5" s="26"/>
      <c r="R5" s="26">
        <v>0</v>
      </c>
    </row>
    <row r="6" spans="1:22" x14ac:dyDescent="0.2">
      <c r="A6" s="23" t="s">
        <v>80</v>
      </c>
      <c r="B6" s="27" t="s">
        <v>1136</v>
      </c>
      <c r="C6" s="4"/>
      <c r="D6" s="4"/>
      <c r="E6" s="4"/>
      <c r="F6" s="28" t="s">
        <v>81</v>
      </c>
      <c r="G6" s="23"/>
      <c r="H6" s="23"/>
      <c r="I6" s="29">
        <v>46174</v>
      </c>
      <c r="J6" s="4"/>
      <c r="K6" s="4" t="s">
        <v>82</v>
      </c>
      <c r="M6" s="25">
        <v>0</v>
      </c>
      <c r="N6" s="4"/>
      <c r="O6" s="26" t="s">
        <v>83</v>
      </c>
      <c r="P6" s="26"/>
      <c r="Q6" s="26"/>
      <c r="R6" s="26">
        <v>0</v>
      </c>
    </row>
    <row r="7" spans="1:22" x14ac:dyDescent="0.2">
      <c r="A7" s="23" t="s">
        <v>84</v>
      </c>
      <c r="B7" s="27" t="s">
        <v>1136</v>
      </c>
      <c r="C7" s="4"/>
      <c r="D7" s="4"/>
      <c r="E7" s="4"/>
      <c r="F7" s="23" t="s">
        <v>85</v>
      </c>
      <c r="G7" s="23"/>
      <c r="H7" s="23"/>
      <c r="I7" s="29">
        <v>46174</v>
      </c>
      <c r="J7" s="4"/>
      <c r="K7" s="4" t="s">
        <v>86</v>
      </c>
      <c r="M7" s="25">
        <v>-1000064</v>
      </c>
      <c r="N7" s="4"/>
      <c r="O7" s="26" t="s">
        <v>90</v>
      </c>
      <c r="P7" s="26"/>
      <c r="Q7" s="26"/>
      <c r="R7" s="26">
        <v>0</v>
      </c>
    </row>
    <row r="8" spans="1:22" x14ac:dyDescent="0.2">
      <c r="A8" s="23" t="s">
        <v>87</v>
      </c>
      <c r="B8" s="23" t="s">
        <v>1137</v>
      </c>
      <c r="C8" s="4"/>
      <c r="D8" s="4"/>
      <c r="E8" s="4"/>
      <c r="F8" s="23" t="s">
        <v>88</v>
      </c>
      <c r="G8" s="23"/>
      <c r="H8" s="23"/>
      <c r="I8" s="30">
        <v>27</v>
      </c>
      <c r="J8" s="4"/>
      <c r="K8" s="4" t="s">
        <v>89</v>
      </c>
      <c r="M8" s="25">
        <v>0</v>
      </c>
      <c r="N8" s="4"/>
      <c r="O8" s="26" t="s">
        <v>90</v>
      </c>
      <c r="P8" s="26"/>
      <c r="Q8" s="26"/>
      <c r="R8" s="26">
        <v>0</v>
      </c>
    </row>
    <row r="9" spans="1:22" ht="15.75" thickBot="1" x14ac:dyDescent="0.25">
      <c r="A9" s="23" t="s">
        <v>91</v>
      </c>
      <c r="B9" s="31">
        <v>97</v>
      </c>
      <c r="C9" s="574" t="s">
        <v>92</v>
      </c>
      <c r="D9" s="574"/>
      <c r="E9" s="31">
        <v>0</v>
      </c>
      <c r="F9" s="23" t="s">
        <v>93</v>
      </c>
      <c r="G9" s="23"/>
      <c r="H9" s="23"/>
      <c r="I9" s="29">
        <v>46997</v>
      </c>
      <c r="J9" s="4"/>
      <c r="K9" s="4" t="s">
        <v>94</v>
      </c>
      <c r="M9" s="25">
        <v>-118819</v>
      </c>
      <c r="N9" s="4"/>
      <c r="O9" s="26" t="s">
        <v>95</v>
      </c>
      <c r="P9" s="26"/>
      <c r="Q9" s="26"/>
      <c r="R9" s="33">
        <v>0</v>
      </c>
    </row>
    <row r="10" spans="1:22" ht="15.75" thickTop="1" x14ac:dyDescent="0.2">
      <c r="A10" s="23" t="s">
        <v>96</v>
      </c>
      <c r="B10" s="31">
        <v>96</v>
      </c>
      <c r="C10" s="574" t="s">
        <v>97</v>
      </c>
      <c r="D10" s="574"/>
      <c r="E10" s="31">
        <v>0</v>
      </c>
      <c r="F10" s="23" t="s">
        <v>98</v>
      </c>
      <c r="G10" s="23"/>
      <c r="H10" s="23"/>
      <c r="I10" s="29">
        <v>46997</v>
      </c>
      <c r="J10" s="4"/>
      <c r="K10" s="4" t="s">
        <v>99</v>
      </c>
      <c r="M10" s="25">
        <v>0</v>
      </c>
      <c r="N10" s="4"/>
      <c r="O10" s="26"/>
      <c r="P10" s="26"/>
      <c r="Q10" s="26"/>
      <c r="R10" s="26"/>
    </row>
    <row r="11" spans="1:22" x14ac:dyDescent="0.2">
      <c r="A11" s="23" t="s">
        <v>100</v>
      </c>
      <c r="B11" s="31">
        <v>1</v>
      </c>
      <c r="C11" s="574" t="s">
        <v>101</v>
      </c>
      <c r="D11" s="574"/>
      <c r="E11" s="31">
        <v>0</v>
      </c>
      <c r="F11" s="23" t="s">
        <v>102</v>
      </c>
      <c r="G11" s="23"/>
      <c r="H11" s="23"/>
      <c r="I11" s="29">
        <v>46997</v>
      </c>
      <c r="J11" s="4"/>
      <c r="K11" s="4" t="s">
        <v>103</v>
      </c>
      <c r="M11" s="25">
        <v>-38800</v>
      </c>
      <c r="N11" s="4"/>
      <c r="O11" s="26" t="s">
        <v>104</v>
      </c>
      <c r="P11" s="26"/>
      <c r="Q11" s="26"/>
      <c r="R11" s="26" t="s">
        <v>69</v>
      </c>
    </row>
    <row r="12" spans="1:22" ht="15.75" thickBot="1" x14ac:dyDescent="0.25">
      <c r="A12" s="23" t="s">
        <v>105</v>
      </c>
      <c r="B12" s="31">
        <v>1</v>
      </c>
      <c r="C12" s="34" t="s">
        <v>106</v>
      </c>
      <c r="D12" s="31">
        <v>0</v>
      </c>
      <c r="E12" s="4"/>
      <c r="F12" s="23" t="s">
        <v>107</v>
      </c>
      <c r="G12" s="23"/>
      <c r="H12" s="23"/>
      <c r="I12" s="30">
        <v>4</v>
      </c>
      <c r="J12" s="4"/>
      <c r="K12" s="4" t="s">
        <v>108</v>
      </c>
      <c r="M12" s="35">
        <v>1901073</v>
      </c>
      <c r="N12" s="4"/>
      <c r="O12" s="26" t="s">
        <v>90</v>
      </c>
      <c r="P12" s="26"/>
      <c r="Q12" s="26"/>
      <c r="R12" s="26">
        <v>0</v>
      </c>
    </row>
    <row r="13" spans="1:22" ht="16.5" thickTop="1" thickBot="1" x14ac:dyDescent="0.25">
      <c r="A13" s="23" t="s">
        <v>109</v>
      </c>
      <c r="B13" s="36">
        <v>0</v>
      </c>
      <c r="C13" s="4"/>
      <c r="D13" s="4"/>
      <c r="E13" s="4"/>
      <c r="F13" s="23" t="s">
        <v>110</v>
      </c>
      <c r="G13" s="23"/>
      <c r="H13" s="23"/>
      <c r="I13" s="29">
        <v>47119</v>
      </c>
      <c r="J13" s="4"/>
      <c r="K13" s="4" t="s">
        <v>111</v>
      </c>
      <c r="M13" s="37">
        <v>1509852</v>
      </c>
      <c r="N13" s="4"/>
      <c r="O13" s="26" t="s">
        <v>112</v>
      </c>
      <c r="P13" s="26"/>
      <c r="Q13" s="26"/>
      <c r="R13" s="33">
        <v>0</v>
      </c>
    </row>
    <row r="14" spans="1:22" ht="15.75" thickTop="1" x14ac:dyDescent="0.2">
      <c r="A14" s="23" t="s">
        <v>113</v>
      </c>
      <c r="B14" s="548" t="s">
        <v>1126</v>
      </c>
      <c r="C14" s="566">
        <v>0</v>
      </c>
      <c r="D14" s="567" t="s">
        <v>114</v>
      </c>
      <c r="E14" s="567"/>
      <c r="F14" s="23" t="s">
        <v>115</v>
      </c>
      <c r="G14" s="23"/>
      <c r="H14" s="23"/>
      <c r="I14" s="29">
        <v>46997</v>
      </c>
      <c r="J14" s="4"/>
      <c r="K14" s="4" t="s">
        <v>116</v>
      </c>
      <c r="L14" s="4"/>
      <c r="M14" s="39">
        <v>1.2591121513896726</v>
      </c>
      <c r="N14" s="4"/>
      <c r="O14" s="4"/>
    </row>
    <row r="15" spans="1:22" x14ac:dyDescent="0.2">
      <c r="A15" s="23" t="s">
        <v>117</v>
      </c>
      <c r="B15" s="548" t="s">
        <v>1138</v>
      </c>
      <c r="C15" s="566">
        <v>0</v>
      </c>
      <c r="D15" s="548" t="s">
        <v>127</v>
      </c>
      <c r="E15" s="566">
        <v>0</v>
      </c>
      <c r="F15" s="23" t="s">
        <v>119</v>
      </c>
      <c r="G15" s="23"/>
      <c r="H15" s="23"/>
      <c r="I15" s="30">
        <v>6</v>
      </c>
      <c r="J15" s="4"/>
      <c r="K15" s="568" t="s">
        <v>120</v>
      </c>
      <c r="L15" s="569"/>
      <c r="M15" s="39">
        <v>1.1466601187988161</v>
      </c>
      <c r="N15" s="4"/>
      <c r="O15" s="4"/>
    </row>
    <row r="16" spans="1:22" x14ac:dyDescent="0.2">
      <c r="A16" s="23" t="s">
        <v>121</v>
      </c>
      <c r="B16" s="32" t="s">
        <v>733</v>
      </c>
      <c r="C16" s="4"/>
      <c r="D16" s="567" t="s">
        <v>122</v>
      </c>
      <c r="E16" s="567"/>
      <c r="F16" s="23" t="s">
        <v>123</v>
      </c>
      <c r="G16" s="23"/>
      <c r="H16" s="23"/>
      <c r="I16" s="30">
        <v>16.166666666666668</v>
      </c>
      <c r="J16" s="4"/>
      <c r="K16" s="4"/>
      <c r="L16" s="4"/>
      <c r="M16" s="4"/>
      <c r="N16" s="4"/>
      <c r="O16" s="4"/>
      <c r="Q16" s="40" t="s">
        <v>124</v>
      </c>
      <c r="R16" s="40" t="s">
        <v>125</v>
      </c>
    </row>
    <row r="17" spans="1:20" x14ac:dyDescent="0.2">
      <c r="A17" s="23" t="s">
        <v>126</v>
      </c>
      <c r="B17" s="548" t="s">
        <v>1139</v>
      </c>
      <c r="C17" s="570">
        <v>0</v>
      </c>
      <c r="D17" s="548" t="s">
        <v>127</v>
      </c>
      <c r="E17" s="566">
        <v>0</v>
      </c>
      <c r="F17" s="23" t="s">
        <v>128</v>
      </c>
      <c r="G17" s="23"/>
      <c r="H17" s="23"/>
      <c r="I17" s="29">
        <v>47150</v>
      </c>
      <c r="J17" s="4"/>
      <c r="K17" s="4"/>
      <c r="L17" s="4"/>
      <c r="M17" s="4"/>
      <c r="N17" s="4"/>
      <c r="O17" s="4"/>
      <c r="Q17" s="40" t="s">
        <v>129</v>
      </c>
      <c r="R17" s="40" t="s">
        <v>129</v>
      </c>
    </row>
    <row r="18" spans="1:20" x14ac:dyDescent="0.2">
      <c r="A18" s="23" t="s">
        <v>130</v>
      </c>
      <c r="B18" s="562" t="s">
        <v>1140</v>
      </c>
      <c r="C18" s="570">
        <v>0</v>
      </c>
      <c r="D18" s="570">
        <v>0</v>
      </c>
      <c r="E18" s="4"/>
      <c r="F18" s="23" t="s">
        <v>131</v>
      </c>
      <c r="G18" s="23"/>
      <c r="H18" s="23"/>
      <c r="I18" s="29">
        <v>46997</v>
      </c>
      <c r="J18" s="4"/>
      <c r="K18" s="4"/>
      <c r="L18" s="4"/>
      <c r="M18" s="4"/>
      <c r="N18" s="4"/>
      <c r="O18" s="4"/>
      <c r="P18" s="4"/>
      <c r="Q18" s="40" t="s">
        <v>1141</v>
      </c>
      <c r="R18" s="40" t="s">
        <v>132</v>
      </c>
      <c r="S18" s="4"/>
      <c r="T18" s="4"/>
    </row>
    <row r="19" spans="1:20" x14ac:dyDescent="0.2">
      <c r="A19" s="23" t="s">
        <v>133</v>
      </c>
      <c r="B19" s="32" t="s">
        <v>1142</v>
      </c>
      <c r="C19" s="42"/>
      <c r="D19" s="42"/>
      <c r="E19" s="42"/>
      <c r="F19" s="23" t="s">
        <v>134</v>
      </c>
      <c r="G19" s="23"/>
      <c r="H19" s="43">
        <v>47423</v>
      </c>
      <c r="I19" s="29">
        <v>47239</v>
      </c>
      <c r="O19" s="26"/>
      <c r="P19" s="26" t="s">
        <v>135</v>
      </c>
      <c r="Q19" s="44" t="s">
        <v>1143</v>
      </c>
      <c r="R19" s="44" t="s">
        <v>1144</v>
      </c>
    </row>
    <row r="20" spans="1:20" x14ac:dyDescent="0.2">
      <c r="A20" s="42"/>
      <c r="B20" s="42"/>
      <c r="C20" s="42"/>
      <c r="D20" s="42"/>
      <c r="E20" s="42"/>
      <c r="F20" s="45"/>
      <c r="G20" s="45"/>
      <c r="H20" s="45"/>
      <c r="I20" s="46"/>
      <c r="O20" s="26" t="s">
        <v>136</v>
      </c>
      <c r="P20" s="47"/>
      <c r="Q20" s="44">
        <v>3.6200000000000003E-2</v>
      </c>
      <c r="R20" s="44">
        <v>4.48E-2</v>
      </c>
    </row>
    <row r="21" spans="1:20" ht="16.5" thickBot="1" x14ac:dyDescent="0.3">
      <c r="A21" s="571" t="s">
        <v>137</v>
      </c>
      <c r="B21" s="572"/>
      <c r="C21" s="49"/>
      <c r="D21" s="49"/>
      <c r="E21" s="49"/>
      <c r="F21" s="49"/>
      <c r="G21" s="49"/>
      <c r="H21" s="49"/>
      <c r="I21" s="48"/>
      <c r="J21" s="48"/>
      <c r="K21" s="48"/>
      <c r="L21" s="48"/>
      <c r="M21" s="48"/>
      <c r="N21" s="4"/>
      <c r="O21" s="26" t="s">
        <v>138</v>
      </c>
      <c r="P21"/>
      <c r="Q21" s="50">
        <v>0</v>
      </c>
      <c r="R21" s="50">
        <v>0</v>
      </c>
    </row>
    <row r="22" spans="1:20" x14ac:dyDescent="0.2">
      <c r="A22" s="51" t="s">
        <v>139</v>
      </c>
      <c r="B22" s="573" t="s">
        <v>1145</v>
      </c>
      <c r="C22" s="573">
        <v>0</v>
      </c>
      <c r="D22" s="573">
        <v>0</v>
      </c>
      <c r="E22" s="573">
        <v>0</v>
      </c>
      <c r="F22" s="42"/>
      <c r="G22" s="563" t="s">
        <v>140</v>
      </c>
      <c r="H22" s="564"/>
      <c r="I22" s="564"/>
      <c r="J22" s="564"/>
      <c r="K22" s="564"/>
      <c r="L22" s="564"/>
      <c r="M22" s="565"/>
      <c r="N22" s="4"/>
      <c r="O22" s="26" t="s">
        <v>141</v>
      </c>
      <c r="P22" s="47"/>
      <c r="Q22" s="54">
        <v>3.6200000000000003E-2</v>
      </c>
      <c r="R22" s="54">
        <v>4.48E-2</v>
      </c>
    </row>
    <row r="23" spans="1:20" ht="15.75" x14ac:dyDescent="0.25">
      <c r="A23" s="42" t="s">
        <v>142</v>
      </c>
      <c r="B23" s="42"/>
      <c r="C23" s="42"/>
      <c r="D23" s="42"/>
      <c r="E23" s="42"/>
      <c r="F23" s="49" t="s">
        <v>143</v>
      </c>
      <c r="G23" s="55" t="s">
        <v>144</v>
      </c>
      <c r="H23" s="55" t="s">
        <v>145</v>
      </c>
      <c r="I23" s="55" t="s">
        <v>146</v>
      </c>
      <c r="J23" s="55" t="s">
        <v>147</v>
      </c>
      <c r="K23" s="55" t="s">
        <v>148</v>
      </c>
      <c r="L23" s="55" t="s">
        <v>149</v>
      </c>
      <c r="M23" s="55" t="s">
        <v>150</v>
      </c>
      <c r="N23" s="42"/>
      <c r="O23" s="26" t="s">
        <v>151</v>
      </c>
      <c r="P23"/>
      <c r="Q23" s="44">
        <v>2.75E-2</v>
      </c>
      <c r="R23" s="44">
        <v>3.1199999999999999E-2</v>
      </c>
    </row>
    <row r="24" spans="1:20" ht="15.75" x14ac:dyDescent="0.25">
      <c r="A24" s="56" t="s">
        <v>152</v>
      </c>
      <c r="B24" s="562" t="s">
        <v>1146</v>
      </c>
      <c r="C24" s="562">
        <v>0</v>
      </c>
      <c r="D24" s="562">
        <v>0</v>
      </c>
      <c r="E24" s="562">
        <v>0</v>
      </c>
      <c r="F24" s="57" t="s">
        <v>127</v>
      </c>
      <c r="G24" s="58">
        <v>9.0000000000000006E-5</v>
      </c>
      <c r="H24" s="58">
        <v>9.0000000000000006E-5</v>
      </c>
      <c r="I24" s="58">
        <v>0</v>
      </c>
      <c r="J24" s="58">
        <v>0</v>
      </c>
      <c r="K24" s="58">
        <v>0</v>
      </c>
      <c r="L24" s="58">
        <v>9.0000000000000006E-5</v>
      </c>
      <c r="M24" s="58">
        <v>0.9</v>
      </c>
      <c r="N24" s="4"/>
      <c r="O24" s="26" t="s">
        <v>153</v>
      </c>
      <c r="P24"/>
      <c r="Q24" s="44">
        <v>0</v>
      </c>
      <c r="R24" s="44">
        <v>0</v>
      </c>
    </row>
    <row r="25" spans="1:20" ht="15.75" x14ac:dyDescent="0.25">
      <c r="A25" s="59" t="s">
        <v>154</v>
      </c>
      <c r="B25" s="554">
        <v>0</v>
      </c>
      <c r="C25" s="554">
        <v>0</v>
      </c>
      <c r="D25" s="554">
        <v>0</v>
      </c>
      <c r="E25" s="554">
        <v>0</v>
      </c>
      <c r="F25" s="60" t="s">
        <v>127</v>
      </c>
      <c r="G25" s="61">
        <v>0</v>
      </c>
      <c r="H25" s="61">
        <v>0</v>
      </c>
      <c r="I25" s="61">
        <v>0</v>
      </c>
      <c r="J25" s="61">
        <v>0</v>
      </c>
      <c r="K25" s="61">
        <v>0</v>
      </c>
      <c r="L25" s="61">
        <v>0</v>
      </c>
      <c r="M25" s="61">
        <v>0</v>
      </c>
      <c r="N25" s="4"/>
      <c r="O25" s="26" t="s">
        <v>155</v>
      </c>
      <c r="P25"/>
      <c r="Q25" s="44">
        <v>0</v>
      </c>
      <c r="R25" s="44">
        <v>0</v>
      </c>
    </row>
    <row r="26" spans="1:20" x14ac:dyDescent="0.2">
      <c r="A26" s="42" t="s">
        <v>156</v>
      </c>
      <c r="B26" s="42"/>
      <c r="C26" s="42"/>
      <c r="D26" s="42"/>
      <c r="E26" s="42"/>
      <c r="F26" s="42"/>
      <c r="G26" s="62"/>
      <c r="H26" s="62"/>
      <c r="I26" s="63"/>
      <c r="J26" s="63"/>
      <c r="K26" s="63"/>
      <c r="L26" s="63"/>
      <c r="M26" s="63"/>
      <c r="N26" s="4"/>
      <c r="O26" s="26" t="s">
        <v>157</v>
      </c>
      <c r="Q26" s="44">
        <v>0</v>
      </c>
      <c r="R26" s="44">
        <v>0</v>
      </c>
      <c r="S26" s="4"/>
    </row>
    <row r="27" spans="1:20" x14ac:dyDescent="0.2">
      <c r="A27" s="56" t="s">
        <v>158</v>
      </c>
      <c r="B27" s="562" t="s">
        <v>1147</v>
      </c>
      <c r="C27" s="562">
        <v>0</v>
      </c>
      <c r="D27" s="562">
        <v>0</v>
      </c>
      <c r="E27" s="562">
        <v>0</v>
      </c>
      <c r="F27" s="57" t="s">
        <v>127</v>
      </c>
      <c r="G27" s="58">
        <v>0.99990000000000001</v>
      </c>
      <c r="H27" s="58">
        <v>0.99990000000000001</v>
      </c>
      <c r="I27" s="58">
        <v>0</v>
      </c>
      <c r="J27" s="58">
        <v>0</v>
      </c>
      <c r="K27" s="58">
        <v>0</v>
      </c>
      <c r="L27" s="58">
        <v>0.99990000000000001</v>
      </c>
      <c r="M27" s="58">
        <v>9.9900000000000003E-2</v>
      </c>
      <c r="N27" s="4"/>
      <c r="O27" s="26" t="s">
        <v>159</v>
      </c>
      <c r="Q27" s="44">
        <v>0</v>
      </c>
      <c r="R27" s="44">
        <v>0</v>
      </c>
    </row>
    <row r="28" spans="1:20" x14ac:dyDescent="0.2">
      <c r="A28" s="59" t="s">
        <v>160</v>
      </c>
      <c r="B28" s="554" t="s">
        <v>161</v>
      </c>
      <c r="C28" s="554">
        <v>0</v>
      </c>
      <c r="D28" s="554">
        <v>0</v>
      </c>
      <c r="E28" s="554">
        <v>0</v>
      </c>
      <c r="F28" s="60" t="s">
        <v>127</v>
      </c>
      <c r="G28" s="61">
        <v>1.0000000000000001E-5</v>
      </c>
      <c r="H28" s="61">
        <v>1.0000000000000001E-5</v>
      </c>
      <c r="I28" s="61">
        <v>0</v>
      </c>
      <c r="J28" s="61">
        <v>0</v>
      </c>
      <c r="K28" s="61">
        <v>0</v>
      </c>
      <c r="L28" s="61">
        <v>1.0000000000000001E-5</v>
      </c>
      <c r="M28" s="61">
        <v>1E-4</v>
      </c>
      <c r="O28" s="26" t="s">
        <v>162</v>
      </c>
      <c r="Q28" s="44">
        <v>0</v>
      </c>
      <c r="R28" s="44">
        <v>0</v>
      </c>
    </row>
    <row r="29" spans="1:20" ht="15.75" x14ac:dyDescent="0.25">
      <c r="A29" s="56" t="s">
        <v>158</v>
      </c>
      <c r="B29" s="554" t="s">
        <v>69</v>
      </c>
      <c r="C29" s="554" t="e">
        <v>#REF!</v>
      </c>
      <c r="D29" s="554" t="e">
        <v>#REF!</v>
      </c>
      <c r="E29" s="554">
        <v>0</v>
      </c>
      <c r="F29" s="60" t="s">
        <v>127</v>
      </c>
      <c r="G29" s="57">
        <v>0</v>
      </c>
      <c r="H29" s="57">
        <v>0</v>
      </c>
      <c r="I29" s="57">
        <v>0</v>
      </c>
      <c r="J29" s="57">
        <v>0</v>
      </c>
      <c r="K29" s="57">
        <v>0</v>
      </c>
      <c r="L29" s="57">
        <v>0</v>
      </c>
      <c r="M29" s="57">
        <v>0</v>
      </c>
      <c r="O29" s="26" t="s">
        <v>163</v>
      </c>
      <c r="P29"/>
      <c r="Q29" s="44">
        <v>1.1000000000000001E-3</v>
      </c>
      <c r="R29" s="44">
        <v>0</v>
      </c>
    </row>
    <row r="30" spans="1:20" ht="16.5" thickBot="1" x14ac:dyDescent="0.3">
      <c r="A30" s="59" t="s">
        <v>164</v>
      </c>
      <c r="B30" s="554">
        <v>0</v>
      </c>
      <c r="C30" s="554">
        <v>0</v>
      </c>
      <c r="D30" s="554">
        <v>0</v>
      </c>
      <c r="E30" s="554">
        <v>0</v>
      </c>
      <c r="F30" s="60" t="s">
        <v>127</v>
      </c>
      <c r="G30" s="64">
        <v>0</v>
      </c>
      <c r="H30" s="58">
        <v>0</v>
      </c>
      <c r="I30" s="58">
        <v>0</v>
      </c>
      <c r="J30" s="58">
        <v>0</v>
      </c>
      <c r="K30" s="58">
        <v>0</v>
      </c>
      <c r="L30" s="58">
        <v>0</v>
      </c>
      <c r="M30" s="58">
        <v>0</v>
      </c>
      <c r="O30" s="26" t="s">
        <v>165</v>
      </c>
      <c r="P30"/>
      <c r="Q30" s="50">
        <v>0</v>
      </c>
      <c r="R30" s="50">
        <v>0</v>
      </c>
    </row>
    <row r="31" spans="1:20" ht="16.5" thickBot="1" x14ac:dyDescent="0.3">
      <c r="A31" s="42"/>
      <c r="B31" s="42"/>
      <c r="C31" s="42"/>
      <c r="D31" s="42"/>
      <c r="E31" s="42"/>
      <c r="F31" s="42"/>
      <c r="G31" s="65">
        <v>1</v>
      </c>
      <c r="H31" s="65">
        <v>1</v>
      </c>
      <c r="I31" s="65">
        <v>0</v>
      </c>
      <c r="J31" s="65">
        <v>0</v>
      </c>
      <c r="K31" s="65">
        <v>0</v>
      </c>
      <c r="L31" s="65">
        <v>1</v>
      </c>
      <c r="M31" s="65">
        <v>1</v>
      </c>
      <c r="O31" s="26" t="s">
        <v>166</v>
      </c>
      <c r="P31"/>
      <c r="Q31" s="54">
        <v>2.86E-2</v>
      </c>
      <c r="R31" s="54">
        <v>3.1199999999999999E-2</v>
      </c>
    </row>
    <row r="32" spans="1:20" ht="16.5" thickTop="1" thickBot="1" x14ac:dyDescent="0.25">
      <c r="A32" s="42"/>
      <c r="B32" s="42"/>
      <c r="C32" s="42"/>
      <c r="D32" s="42"/>
      <c r="E32" s="42"/>
      <c r="F32" s="42"/>
      <c r="G32" s="42"/>
      <c r="H32" s="42"/>
      <c r="M32" s="4"/>
      <c r="O32" s="26"/>
    </row>
    <row r="33" spans="1:37" x14ac:dyDescent="0.2">
      <c r="A33" s="42"/>
      <c r="B33" s="42"/>
      <c r="C33" s="42"/>
      <c r="D33" s="42"/>
      <c r="E33" s="42"/>
      <c r="F33" s="42"/>
      <c r="G33" s="42"/>
      <c r="H33" s="42"/>
      <c r="M33" s="4"/>
      <c r="O33" s="26" t="s">
        <v>167</v>
      </c>
      <c r="Q33" s="54">
        <v>6.4799999999999996E-2</v>
      </c>
      <c r="R33" s="54">
        <v>7.5999999999999998E-2</v>
      </c>
    </row>
    <row r="34" spans="1:37" x14ac:dyDescent="0.2">
      <c r="A34" s="17" t="s">
        <v>168</v>
      </c>
      <c r="B34" s="19"/>
      <c r="C34" s="19"/>
      <c r="D34" s="19"/>
      <c r="E34" s="42"/>
      <c r="H34" s="17" t="s">
        <v>169</v>
      </c>
      <c r="I34" s="19"/>
      <c r="J34" s="19"/>
      <c r="K34" s="66"/>
      <c r="L34" s="66"/>
      <c r="M34" s="66"/>
      <c r="O34" s="26"/>
    </row>
    <row r="35" spans="1:37" x14ac:dyDescent="0.2">
      <c r="D35" s="67" t="s">
        <v>170</v>
      </c>
      <c r="E35" s="67" t="s">
        <v>171</v>
      </c>
      <c r="H35" s="42"/>
      <c r="I35" s="42"/>
      <c r="J35" s="42"/>
      <c r="K35" s="67" t="s">
        <v>172</v>
      </c>
      <c r="L35" s="68"/>
      <c r="M35" s="67" t="s">
        <v>173</v>
      </c>
      <c r="O35" s="26" t="s">
        <v>174</v>
      </c>
      <c r="Q35" s="44">
        <v>0</v>
      </c>
      <c r="R35" s="44">
        <v>0</v>
      </c>
    </row>
    <row r="36" spans="1:37" ht="15.75" thickBot="1" x14ac:dyDescent="0.25">
      <c r="A36" s="19" t="s">
        <v>175</v>
      </c>
      <c r="B36" s="66" t="s">
        <v>176</v>
      </c>
      <c r="C36" s="66" t="s">
        <v>170</v>
      </c>
      <c r="D36" s="66" t="s">
        <v>177</v>
      </c>
      <c r="E36" s="66" t="s">
        <v>178</v>
      </c>
      <c r="H36" s="42"/>
      <c r="I36" s="42"/>
      <c r="J36" s="42"/>
      <c r="K36" s="66" t="s">
        <v>179</v>
      </c>
      <c r="L36" s="66" t="s">
        <v>180</v>
      </c>
      <c r="M36" s="66" t="s">
        <v>181</v>
      </c>
      <c r="O36" s="26"/>
    </row>
    <row r="37" spans="1:37" ht="15.75" thickBot="1" x14ac:dyDescent="0.25">
      <c r="A37" s="69" t="s">
        <v>1148</v>
      </c>
      <c r="B37" s="70">
        <v>24400000</v>
      </c>
      <c r="C37" s="71">
        <v>6.4799999999999996E-2</v>
      </c>
      <c r="D37" s="72" t="s">
        <v>1149</v>
      </c>
      <c r="E37" s="73">
        <v>36</v>
      </c>
      <c r="H37" s="42"/>
      <c r="I37" s="42"/>
      <c r="J37" s="42"/>
      <c r="O37" s="26" t="s">
        <v>182</v>
      </c>
      <c r="Q37" s="74">
        <v>6.4799999999999996E-2</v>
      </c>
      <c r="R37" s="74">
        <v>7.5999999999999998E-2</v>
      </c>
    </row>
    <row r="38" spans="1:37" ht="15.75" thickTop="1" x14ac:dyDescent="0.2">
      <c r="A38" s="69" t="s">
        <v>1150</v>
      </c>
      <c r="B38" s="70">
        <v>28202240</v>
      </c>
      <c r="C38" s="71">
        <v>2.5000000000000001E-3</v>
      </c>
      <c r="D38" s="72" t="s">
        <v>132</v>
      </c>
      <c r="E38" s="73">
        <v>36</v>
      </c>
      <c r="H38" s="75" t="s">
        <v>184</v>
      </c>
      <c r="I38" s="75"/>
      <c r="J38" s="75"/>
      <c r="K38" s="76">
        <v>17668230</v>
      </c>
      <c r="L38" s="77">
        <v>0.97750017970107927</v>
      </c>
      <c r="M38" s="76">
        <v>17270698</v>
      </c>
      <c r="O38" s="26"/>
    </row>
    <row r="39" spans="1:37" x14ac:dyDescent="0.2">
      <c r="A39" s="69" t="s">
        <v>183</v>
      </c>
      <c r="B39" s="70">
        <v>0</v>
      </c>
      <c r="C39" s="71">
        <v>0</v>
      </c>
      <c r="D39" s="72">
        <v>0</v>
      </c>
      <c r="E39" s="73">
        <v>0</v>
      </c>
      <c r="H39" s="75" t="s">
        <v>185</v>
      </c>
      <c r="I39" s="75"/>
      <c r="J39" s="75"/>
      <c r="K39" s="78">
        <v>0</v>
      </c>
      <c r="L39" s="77">
        <v>0</v>
      </c>
      <c r="M39" s="78">
        <v>0</v>
      </c>
      <c r="O39" s="26"/>
    </row>
    <row r="40" spans="1:37" x14ac:dyDescent="0.2">
      <c r="A40" s="69" t="s">
        <v>183</v>
      </c>
      <c r="B40" s="70">
        <v>0</v>
      </c>
      <c r="C40" s="71">
        <v>0</v>
      </c>
      <c r="D40" s="72">
        <v>0</v>
      </c>
      <c r="E40" s="73">
        <v>0</v>
      </c>
      <c r="H40" s="75" t="s">
        <v>146</v>
      </c>
      <c r="I40" s="75"/>
      <c r="J40" s="75"/>
      <c r="K40" s="78">
        <v>0</v>
      </c>
      <c r="L40" s="77">
        <v>0</v>
      </c>
      <c r="M40" s="78">
        <v>0</v>
      </c>
      <c r="O40" s="26" t="s">
        <v>186</v>
      </c>
      <c r="Q40" s="44">
        <v>0</v>
      </c>
      <c r="R40" s="44">
        <v>0</v>
      </c>
    </row>
    <row r="41" spans="1:37" x14ac:dyDescent="0.2">
      <c r="A41" s="69" t="s">
        <v>183</v>
      </c>
      <c r="B41" s="70">
        <v>0</v>
      </c>
      <c r="C41" s="79">
        <v>0</v>
      </c>
      <c r="D41" s="80">
        <v>0</v>
      </c>
      <c r="E41" s="81">
        <v>0</v>
      </c>
      <c r="H41" s="75" t="s">
        <v>187</v>
      </c>
      <c r="I41" s="82"/>
      <c r="J41" s="82"/>
      <c r="K41" s="78">
        <v>0</v>
      </c>
      <c r="L41" s="77">
        <v>0</v>
      </c>
      <c r="M41" s="78">
        <v>0</v>
      </c>
      <c r="O41" s="26" t="s">
        <v>188</v>
      </c>
      <c r="Q41" s="44">
        <v>0</v>
      </c>
      <c r="R41" s="44">
        <v>0</v>
      </c>
    </row>
    <row r="42" spans="1:37" x14ac:dyDescent="0.2">
      <c r="A42" s="27" t="s">
        <v>189</v>
      </c>
      <c r="B42" s="70">
        <v>0</v>
      </c>
      <c r="C42" s="79">
        <v>0</v>
      </c>
      <c r="D42" s="72">
        <v>0</v>
      </c>
      <c r="E42" s="73">
        <v>0</v>
      </c>
      <c r="H42" s="75" t="s">
        <v>190</v>
      </c>
      <c r="I42" s="82"/>
      <c r="J42" s="82"/>
      <c r="K42" s="78">
        <v>0</v>
      </c>
      <c r="L42" s="77">
        <v>0</v>
      </c>
      <c r="M42" s="83">
        <v>0</v>
      </c>
      <c r="O42" s="26"/>
    </row>
    <row r="43" spans="1:37" ht="15.75" thickBot="1" x14ac:dyDescent="0.25">
      <c r="A43" s="42"/>
      <c r="B43" s="42"/>
      <c r="C43" s="42"/>
      <c r="D43" s="42"/>
      <c r="E43" s="42"/>
      <c r="H43" s="84" t="s">
        <v>191</v>
      </c>
      <c r="I43" s="85"/>
      <c r="J43" s="85"/>
      <c r="K43" s="85"/>
      <c r="L43" s="86"/>
      <c r="M43" s="87">
        <v>17270698</v>
      </c>
    </row>
    <row r="44" spans="1:37" ht="15.75" thickTop="1" x14ac:dyDescent="0.2">
      <c r="A44" s="42"/>
      <c r="B44" s="42"/>
      <c r="C44" s="42"/>
      <c r="D44" s="42"/>
      <c r="E44" s="42"/>
      <c r="H44" s="42"/>
      <c r="I44" s="42"/>
      <c r="J44" s="42"/>
      <c r="K44" s="4"/>
      <c r="L44" s="4"/>
      <c r="M44" s="4"/>
      <c r="N44" s="4"/>
      <c r="O44" s="4"/>
      <c r="S44" s="4"/>
    </row>
    <row r="45" spans="1:37" x14ac:dyDescent="0.2">
      <c r="A45" s="17" t="s">
        <v>192</v>
      </c>
      <c r="B45" s="19"/>
      <c r="C45" s="19"/>
      <c r="D45" s="19"/>
      <c r="E45" s="19"/>
      <c r="F45" s="19"/>
      <c r="G45" s="19"/>
      <c r="H45" s="19"/>
      <c r="I45" s="19"/>
      <c r="J45" s="19"/>
      <c r="K45" s="19"/>
      <c r="L45" s="19"/>
      <c r="M45" s="19"/>
      <c r="N45" s="19"/>
      <c r="O45" s="19"/>
      <c r="P45" s="19"/>
      <c r="Q45" s="19"/>
      <c r="R45" s="19"/>
      <c r="S45" s="19"/>
      <c r="T45" s="19"/>
    </row>
    <row r="46" spans="1:37" x14ac:dyDescent="0.2">
      <c r="B46" s="88"/>
      <c r="C46" s="88"/>
      <c r="D46" s="88"/>
      <c r="E46" s="88"/>
      <c r="F46" s="88"/>
      <c r="G46" s="88"/>
      <c r="H46" s="88"/>
      <c r="I46" s="88"/>
      <c r="J46" s="88"/>
      <c r="S46" s="4"/>
      <c r="T46" s="4"/>
    </row>
    <row r="47" spans="1:37" ht="15.75" thickBot="1" x14ac:dyDescent="0.25">
      <c r="A47" s="4"/>
      <c r="B47" s="88"/>
      <c r="C47" s="89"/>
      <c r="D47" s="89"/>
      <c r="E47" s="89"/>
      <c r="F47" s="89"/>
      <c r="G47" s="89"/>
      <c r="H47" s="89"/>
      <c r="I47" s="89"/>
      <c r="J47" s="88"/>
      <c r="S47" s="4"/>
      <c r="Y47" s="90">
        <v>1.2</v>
      </c>
      <c r="AE47" s="558" t="s">
        <v>193</v>
      </c>
      <c r="AF47" s="559"/>
      <c r="AG47" s="553"/>
      <c r="AH47" s="553"/>
      <c r="AI47" s="553"/>
      <c r="AJ47" s="553"/>
    </row>
    <row r="48" spans="1:37" ht="51" x14ac:dyDescent="0.2">
      <c r="A48" s="41" t="s">
        <v>175</v>
      </c>
      <c r="B48" s="91" t="s">
        <v>194</v>
      </c>
      <c r="C48" s="91" t="s">
        <v>195</v>
      </c>
      <c r="D48" s="91" t="s">
        <v>176</v>
      </c>
      <c r="E48" s="91" t="s">
        <v>170</v>
      </c>
      <c r="F48" s="91" t="s">
        <v>196</v>
      </c>
      <c r="G48" s="91" t="s">
        <v>197</v>
      </c>
      <c r="H48" s="91" t="s">
        <v>198</v>
      </c>
      <c r="I48" s="91" t="s">
        <v>199</v>
      </c>
      <c r="J48" s="91" t="s">
        <v>200</v>
      </c>
      <c r="K48" s="91" t="s">
        <v>201</v>
      </c>
      <c r="L48" s="91" t="s">
        <v>202</v>
      </c>
      <c r="M48" s="91" t="s">
        <v>203</v>
      </c>
      <c r="N48" s="91" t="s">
        <v>204</v>
      </c>
      <c r="O48" s="91" t="s">
        <v>205</v>
      </c>
      <c r="P48" s="91" t="s">
        <v>206</v>
      </c>
      <c r="Q48" s="91" t="s">
        <v>207</v>
      </c>
      <c r="R48" s="91" t="s">
        <v>208</v>
      </c>
      <c r="S48" s="91" t="s">
        <v>209</v>
      </c>
      <c r="T48" s="92" t="s">
        <v>210</v>
      </c>
      <c r="U48" s="91" t="s">
        <v>211</v>
      </c>
      <c r="V48" s="91" t="s">
        <v>212</v>
      </c>
      <c r="W48" s="92" t="s">
        <v>213</v>
      </c>
      <c r="X48" s="92" t="s">
        <v>214</v>
      </c>
      <c r="Y48" s="92" t="s">
        <v>215</v>
      </c>
      <c r="Z48" s="92" t="s">
        <v>216</v>
      </c>
      <c r="AA48" s="92" t="s">
        <v>217</v>
      </c>
      <c r="AB48" s="92" t="s">
        <v>218</v>
      </c>
      <c r="AC48" s="92" t="s">
        <v>219</v>
      </c>
      <c r="AD48" s="92" t="s">
        <v>220</v>
      </c>
      <c r="AE48" s="93" t="s">
        <v>221</v>
      </c>
      <c r="AF48" s="94" t="s">
        <v>222</v>
      </c>
      <c r="AG48" s="94" t="s">
        <v>223</v>
      </c>
      <c r="AH48" s="94" t="s">
        <v>218</v>
      </c>
      <c r="AI48" s="94" t="s">
        <v>218</v>
      </c>
      <c r="AJ48" s="95"/>
      <c r="AK48" s="96" t="s">
        <v>224</v>
      </c>
    </row>
    <row r="49" spans="1:37" x14ac:dyDescent="0.2">
      <c r="A49" s="41" t="s">
        <v>1151</v>
      </c>
      <c r="B49" s="41" t="s">
        <v>225</v>
      </c>
      <c r="C49" s="97">
        <v>1</v>
      </c>
      <c r="D49" s="98">
        <v>18907000</v>
      </c>
      <c r="E49" s="44">
        <v>7.5999999999999998E-2</v>
      </c>
      <c r="F49" s="99">
        <v>480</v>
      </c>
      <c r="G49" s="100">
        <v>30</v>
      </c>
      <c r="H49" s="101" t="s">
        <v>226</v>
      </c>
      <c r="I49" s="102">
        <v>0</v>
      </c>
      <c r="J49" s="103">
        <v>47239</v>
      </c>
      <c r="K49" s="103">
        <v>47239</v>
      </c>
      <c r="L49" s="44">
        <v>0</v>
      </c>
      <c r="M49" s="44">
        <v>0</v>
      </c>
      <c r="N49" s="44">
        <v>0</v>
      </c>
      <c r="O49" s="104">
        <v>0</v>
      </c>
      <c r="P49" s="57">
        <v>0</v>
      </c>
      <c r="Q49" s="57" t="s">
        <v>118</v>
      </c>
      <c r="R49" s="57" t="s">
        <v>118</v>
      </c>
      <c r="S49" s="57" t="s">
        <v>127</v>
      </c>
      <c r="T49" s="57" t="s">
        <v>118</v>
      </c>
      <c r="U49" s="105">
        <v>47239</v>
      </c>
      <c r="V49" s="105">
        <v>47239</v>
      </c>
      <c r="W49" s="57" t="s">
        <v>227</v>
      </c>
      <c r="X49" s="106">
        <v>12</v>
      </c>
      <c r="Y49" s="107">
        <v>19838371.09663333</v>
      </c>
      <c r="Z49" s="104">
        <v>1509852</v>
      </c>
      <c r="AA49" s="108">
        <v>0</v>
      </c>
      <c r="AB49" s="104">
        <v>0</v>
      </c>
      <c r="AC49" s="104">
        <v>18907000</v>
      </c>
      <c r="AD49" s="104">
        <v>0</v>
      </c>
      <c r="AE49" s="109">
        <v>1</v>
      </c>
      <c r="AF49" s="108">
        <v>0</v>
      </c>
      <c r="AG49" s="108">
        <v>0</v>
      </c>
      <c r="AH49" s="104" t="s">
        <v>69</v>
      </c>
      <c r="AI49" s="104" t="s">
        <v>69</v>
      </c>
      <c r="AJ49" s="110" t="s">
        <v>1151</v>
      </c>
      <c r="AK49" s="104">
        <v>0</v>
      </c>
    </row>
    <row r="50" spans="1:37" x14ac:dyDescent="0.2">
      <c r="A50" s="27" t="s">
        <v>183</v>
      </c>
      <c r="B50" s="111">
        <v>0</v>
      </c>
      <c r="C50" s="31">
        <v>0</v>
      </c>
      <c r="D50" s="112">
        <v>0</v>
      </c>
      <c r="E50" s="113">
        <v>0</v>
      </c>
      <c r="F50" s="114">
        <v>0</v>
      </c>
      <c r="G50" s="115">
        <v>0</v>
      </c>
      <c r="H50" s="116">
        <v>0</v>
      </c>
      <c r="I50" s="117">
        <v>0</v>
      </c>
      <c r="J50" s="118">
        <v>0</v>
      </c>
      <c r="K50" s="118">
        <v>0</v>
      </c>
      <c r="L50" s="113">
        <v>0</v>
      </c>
      <c r="M50" s="113">
        <v>0</v>
      </c>
      <c r="N50" s="113">
        <v>0</v>
      </c>
      <c r="O50" s="119">
        <v>0</v>
      </c>
      <c r="P50" s="60">
        <v>0</v>
      </c>
      <c r="Q50" s="60">
        <v>0</v>
      </c>
      <c r="R50" s="60">
        <v>0</v>
      </c>
      <c r="S50" s="60">
        <v>0</v>
      </c>
      <c r="T50" s="60">
        <v>0</v>
      </c>
      <c r="U50" s="105" t="s">
        <v>69</v>
      </c>
      <c r="V50" s="120">
        <v>47239</v>
      </c>
      <c r="W50" s="60" t="s">
        <v>227</v>
      </c>
      <c r="X50" s="121">
        <v>12</v>
      </c>
      <c r="Y50" s="122">
        <v>0</v>
      </c>
      <c r="Z50" s="119">
        <v>0</v>
      </c>
      <c r="AA50" s="123">
        <v>0</v>
      </c>
      <c r="AB50" s="119">
        <v>0</v>
      </c>
      <c r="AC50" s="104">
        <v>0</v>
      </c>
      <c r="AD50" s="104">
        <v>0</v>
      </c>
      <c r="AE50" s="124">
        <v>2</v>
      </c>
      <c r="AF50" s="123">
        <v>0</v>
      </c>
      <c r="AG50" s="123">
        <v>0</v>
      </c>
      <c r="AH50" s="119" t="s">
        <v>69</v>
      </c>
      <c r="AI50" s="119" t="s">
        <v>69</v>
      </c>
      <c r="AJ50" s="125" t="s">
        <v>183</v>
      </c>
      <c r="AK50" s="119">
        <v>0</v>
      </c>
    </row>
    <row r="51" spans="1:37" x14ac:dyDescent="0.2">
      <c r="A51" s="27" t="s">
        <v>183</v>
      </c>
      <c r="B51" s="111">
        <v>0</v>
      </c>
      <c r="C51" s="31">
        <v>0</v>
      </c>
      <c r="D51" s="112">
        <v>0</v>
      </c>
      <c r="E51" s="113">
        <v>0</v>
      </c>
      <c r="F51" s="114">
        <v>0</v>
      </c>
      <c r="G51" s="115">
        <v>0</v>
      </c>
      <c r="H51" s="116">
        <v>0</v>
      </c>
      <c r="I51" s="117">
        <v>0</v>
      </c>
      <c r="J51" s="118">
        <v>0</v>
      </c>
      <c r="K51" s="118">
        <v>0</v>
      </c>
      <c r="L51" s="113">
        <v>0</v>
      </c>
      <c r="M51" s="113">
        <v>0</v>
      </c>
      <c r="N51" s="113">
        <v>0</v>
      </c>
      <c r="O51" s="119">
        <v>0</v>
      </c>
      <c r="P51" s="60">
        <v>0</v>
      </c>
      <c r="Q51" s="60">
        <v>0</v>
      </c>
      <c r="R51" s="60">
        <v>0</v>
      </c>
      <c r="S51" s="60">
        <v>0</v>
      </c>
      <c r="T51" s="60">
        <v>0</v>
      </c>
      <c r="U51" s="105" t="s">
        <v>69</v>
      </c>
      <c r="V51" s="120">
        <v>47239</v>
      </c>
      <c r="W51" s="60" t="s">
        <v>227</v>
      </c>
      <c r="X51" s="121">
        <v>12</v>
      </c>
      <c r="Y51" s="122">
        <v>0</v>
      </c>
      <c r="Z51" s="119">
        <v>0</v>
      </c>
      <c r="AA51" s="123">
        <v>0</v>
      </c>
      <c r="AB51" s="119">
        <v>0</v>
      </c>
      <c r="AC51" s="104">
        <v>0</v>
      </c>
      <c r="AD51" s="104">
        <v>0</v>
      </c>
      <c r="AE51" s="124">
        <v>3</v>
      </c>
      <c r="AF51" s="123">
        <v>0</v>
      </c>
      <c r="AG51" s="123">
        <v>0</v>
      </c>
      <c r="AH51" s="119" t="s">
        <v>69</v>
      </c>
      <c r="AI51" s="119" t="s">
        <v>69</v>
      </c>
      <c r="AJ51" s="125" t="s">
        <v>183</v>
      </c>
      <c r="AK51" s="119">
        <v>0</v>
      </c>
    </row>
    <row r="52" spans="1:37" x14ac:dyDescent="0.2">
      <c r="A52" s="27" t="s">
        <v>229</v>
      </c>
      <c r="B52" s="111" t="s">
        <v>230</v>
      </c>
      <c r="C52" s="31">
        <v>0</v>
      </c>
      <c r="D52" s="112">
        <v>0</v>
      </c>
      <c r="E52" s="113">
        <v>0</v>
      </c>
      <c r="F52" s="114">
        <v>35</v>
      </c>
      <c r="G52" s="115">
        <v>2.9166666666666665</v>
      </c>
      <c r="H52" s="116" t="s">
        <v>231</v>
      </c>
      <c r="I52" s="117">
        <v>1</v>
      </c>
      <c r="J52" s="118">
        <v>46174</v>
      </c>
      <c r="K52" s="118">
        <v>46174</v>
      </c>
      <c r="L52" s="113">
        <v>0</v>
      </c>
      <c r="M52" s="113">
        <v>0</v>
      </c>
      <c r="N52" s="113">
        <v>0</v>
      </c>
      <c r="O52" s="119">
        <v>0</v>
      </c>
      <c r="P52" s="60">
        <v>0</v>
      </c>
      <c r="Q52" s="60" t="s">
        <v>127</v>
      </c>
      <c r="R52" s="60" t="s">
        <v>118</v>
      </c>
      <c r="S52" s="60" t="s">
        <v>127</v>
      </c>
      <c r="T52" s="60" t="s">
        <v>127</v>
      </c>
      <c r="U52" s="105">
        <v>46174</v>
      </c>
      <c r="V52" s="120">
        <v>47239</v>
      </c>
      <c r="W52" s="60" t="s">
        <v>227</v>
      </c>
      <c r="X52" s="121">
        <v>12</v>
      </c>
      <c r="Y52" s="122">
        <v>0</v>
      </c>
      <c r="Z52" s="119">
        <v>0</v>
      </c>
      <c r="AA52" s="123">
        <v>0</v>
      </c>
      <c r="AB52" s="119">
        <v>0</v>
      </c>
      <c r="AC52" s="104">
        <v>0</v>
      </c>
      <c r="AD52" s="104">
        <v>0</v>
      </c>
      <c r="AE52" s="124">
        <v>4</v>
      </c>
      <c r="AF52" s="123">
        <v>0</v>
      </c>
      <c r="AG52" s="123">
        <v>0</v>
      </c>
      <c r="AH52" s="119" t="s">
        <v>69</v>
      </c>
      <c r="AI52" s="119" t="s">
        <v>69</v>
      </c>
      <c r="AJ52" s="125" t="s">
        <v>229</v>
      </c>
      <c r="AK52" s="119">
        <v>0</v>
      </c>
    </row>
    <row r="53" spans="1:37" x14ac:dyDescent="0.2">
      <c r="A53" s="27" t="s">
        <v>183</v>
      </c>
      <c r="B53" s="111">
        <v>0</v>
      </c>
      <c r="C53" s="31">
        <v>0</v>
      </c>
      <c r="D53" s="112">
        <v>0</v>
      </c>
      <c r="E53" s="113">
        <v>0</v>
      </c>
      <c r="F53" s="114">
        <v>0</v>
      </c>
      <c r="G53" s="115">
        <v>0</v>
      </c>
      <c r="H53" s="116">
        <v>0</v>
      </c>
      <c r="I53" s="117">
        <v>0</v>
      </c>
      <c r="J53" s="118">
        <v>0</v>
      </c>
      <c r="K53" s="118">
        <v>0</v>
      </c>
      <c r="L53" s="113">
        <v>0</v>
      </c>
      <c r="M53" s="113">
        <v>0</v>
      </c>
      <c r="N53" s="113">
        <v>0</v>
      </c>
      <c r="O53" s="119">
        <v>0</v>
      </c>
      <c r="P53" s="60">
        <v>0</v>
      </c>
      <c r="Q53" s="60">
        <v>0</v>
      </c>
      <c r="R53" s="60">
        <v>0</v>
      </c>
      <c r="S53" s="60">
        <v>0</v>
      </c>
      <c r="T53" s="60">
        <v>0</v>
      </c>
      <c r="U53" s="105" t="s">
        <v>69</v>
      </c>
      <c r="V53" s="120">
        <v>47239</v>
      </c>
      <c r="W53" s="60" t="s">
        <v>227</v>
      </c>
      <c r="X53" s="121">
        <v>12</v>
      </c>
      <c r="Y53" s="122">
        <v>0</v>
      </c>
      <c r="Z53" s="119">
        <v>0</v>
      </c>
      <c r="AA53" s="123">
        <v>0</v>
      </c>
      <c r="AB53" s="119">
        <v>0</v>
      </c>
      <c r="AC53" s="104">
        <v>0</v>
      </c>
      <c r="AD53" s="104">
        <v>0</v>
      </c>
      <c r="AE53" s="124">
        <v>5</v>
      </c>
      <c r="AF53" s="123">
        <v>0</v>
      </c>
      <c r="AG53" s="123">
        <v>0</v>
      </c>
      <c r="AH53" s="119" t="s">
        <v>69</v>
      </c>
      <c r="AI53" s="119" t="s">
        <v>69</v>
      </c>
      <c r="AJ53" s="125" t="s">
        <v>183</v>
      </c>
      <c r="AK53" s="119">
        <v>0</v>
      </c>
    </row>
    <row r="54" spans="1:37" x14ac:dyDescent="0.2">
      <c r="A54" s="27" t="s">
        <v>183</v>
      </c>
      <c r="B54" s="111">
        <v>0</v>
      </c>
      <c r="C54" s="31">
        <v>0</v>
      </c>
      <c r="D54" s="112">
        <v>0</v>
      </c>
      <c r="E54" s="113">
        <v>0</v>
      </c>
      <c r="F54" s="114">
        <v>0</v>
      </c>
      <c r="G54" s="115">
        <v>0</v>
      </c>
      <c r="H54" s="116">
        <v>0</v>
      </c>
      <c r="I54" s="117">
        <v>0</v>
      </c>
      <c r="J54" s="118">
        <v>0</v>
      </c>
      <c r="K54" s="118">
        <v>0</v>
      </c>
      <c r="L54" s="113">
        <v>0</v>
      </c>
      <c r="M54" s="113">
        <v>0</v>
      </c>
      <c r="N54" s="113">
        <v>0</v>
      </c>
      <c r="O54" s="119">
        <v>0</v>
      </c>
      <c r="P54" s="60">
        <v>0</v>
      </c>
      <c r="Q54" s="60">
        <v>0</v>
      </c>
      <c r="R54" s="60">
        <v>0</v>
      </c>
      <c r="S54" s="60">
        <v>0</v>
      </c>
      <c r="T54" s="60">
        <v>0</v>
      </c>
      <c r="U54" s="105" t="s">
        <v>69</v>
      </c>
      <c r="V54" s="120">
        <v>47239</v>
      </c>
      <c r="W54" s="60" t="s">
        <v>227</v>
      </c>
      <c r="X54" s="121">
        <v>12</v>
      </c>
      <c r="Y54" s="122">
        <v>0</v>
      </c>
      <c r="Z54" s="119">
        <v>0</v>
      </c>
      <c r="AA54" s="123">
        <v>0</v>
      </c>
      <c r="AB54" s="119">
        <v>0</v>
      </c>
      <c r="AC54" s="104">
        <v>0</v>
      </c>
      <c r="AD54" s="104">
        <v>0</v>
      </c>
      <c r="AE54" s="124">
        <v>6</v>
      </c>
      <c r="AF54" s="123">
        <v>0</v>
      </c>
      <c r="AG54" s="123">
        <v>0</v>
      </c>
      <c r="AH54" s="119" t="s">
        <v>69</v>
      </c>
      <c r="AI54" s="119" t="s">
        <v>69</v>
      </c>
      <c r="AJ54" s="125" t="s">
        <v>183</v>
      </c>
      <c r="AK54" s="119">
        <v>0</v>
      </c>
    </row>
    <row r="55" spans="1:37" x14ac:dyDescent="0.2">
      <c r="A55" s="27" t="s">
        <v>233</v>
      </c>
      <c r="B55" s="111" t="s">
        <v>234</v>
      </c>
      <c r="C55" s="31">
        <v>0</v>
      </c>
      <c r="D55" s="112">
        <v>0</v>
      </c>
      <c r="E55" s="113">
        <v>0</v>
      </c>
      <c r="F55" s="114">
        <v>0</v>
      </c>
      <c r="G55" s="115">
        <v>0</v>
      </c>
      <c r="H55" s="116">
        <v>0</v>
      </c>
      <c r="I55" s="117">
        <v>0</v>
      </c>
      <c r="J55" s="118">
        <v>0</v>
      </c>
      <c r="K55" s="118">
        <v>0</v>
      </c>
      <c r="L55" s="113">
        <v>0</v>
      </c>
      <c r="M55" s="113">
        <v>0</v>
      </c>
      <c r="N55" s="113">
        <v>0</v>
      </c>
      <c r="O55" s="119">
        <v>0</v>
      </c>
      <c r="P55" s="60">
        <v>0</v>
      </c>
      <c r="Q55" s="60" t="s">
        <v>127</v>
      </c>
      <c r="R55" s="60" t="s">
        <v>127</v>
      </c>
      <c r="S55" s="60" t="s">
        <v>127</v>
      </c>
      <c r="T55" s="60" t="s">
        <v>127</v>
      </c>
      <c r="U55" s="105" t="s">
        <v>69</v>
      </c>
      <c r="V55" s="120">
        <v>47239</v>
      </c>
      <c r="W55" s="60" t="s">
        <v>227</v>
      </c>
      <c r="X55" s="121">
        <v>12</v>
      </c>
      <c r="Y55" s="122">
        <v>0</v>
      </c>
      <c r="Z55" s="119">
        <v>0</v>
      </c>
      <c r="AA55" s="123">
        <v>0</v>
      </c>
      <c r="AB55" s="119">
        <v>0</v>
      </c>
      <c r="AC55" s="104">
        <v>0</v>
      </c>
      <c r="AD55" s="104">
        <v>0</v>
      </c>
      <c r="AE55" s="124">
        <v>7</v>
      </c>
      <c r="AF55" s="123">
        <v>0</v>
      </c>
      <c r="AG55" s="123">
        <v>0</v>
      </c>
      <c r="AH55" s="119" t="s">
        <v>69</v>
      </c>
      <c r="AI55" s="119" t="s">
        <v>69</v>
      </c>
      <c r="AJ55" s="125" t="s">
        <v>233</v>
      </c>
      <c r="AK55" s="119">
        <v>0</v>
      </c>
    </row>
    <row r="56" spans="1:37" x14ac:dyDescent="0.2">
      <c r="A56" s="27" t="s">
        <v>734</v>
      </c>
      <c r="B56" s="111" t="s">
        <v>735</v>
      </c>
      <c r="C56" s="31">
        <v>0</v>
      </c>
      <c r="D56" s="112">
        <v>0</v>
      </c>
      <c r="E56" s="113">
        <v>0</v>
      </c>
      <c r="F56" s="114">
        <v>756</v>
      </c>
      <c r="G56" s="115">
        <v>63</v>
      </c>
      <c r="H56" s="116" t="s">
        <v>228</v>
      </c>
      <c r="I56" s="117">
        <v>1</v>
      </c>
      <c r="J56" s="118">
        <v>46539</v>
      </c>
      <c r="K56" s="118">
        <v>47239</v>
      </c>
      <c r="L56" s="113">
        <v>0</v>
      </c>
      <c r="M56" s="113">
        <v>0</v>
      </c>
      <c r="N56" s="113">
        <v>0</v>
      </c>
      <c r="O56" s="119">
        <v>10000</v>
      </c>
      <c r="P56" s="60">
        <v>1.03</v>
      </c>
      <c r="Q56" s="60" t="s">
        <v>118</v>
      </c>
      <c r="R56" s="60" t="s">
        <v>118</v>
      </c>
      <c r="S56" s="60" t="s">
        <v>127</v>
      </c>
      <c r="T56" s="60" t="s">
        <v>127</v>
      </c>
      <c r="U56" s="105">
        <v>46539</v>
      </c>
      <c r="V56" s="120">
        <v>47239</v>
      </c>
      <c r="W56" s="60" t="s">
        <v>227</v>
      </c>
      <c r="X56" s="121">
        <v>12</v>
      </c>
      <c r="Y56" s="122">
        <v>0</v>
      </c>
      <c r="Z56" s="119">
        <v>0</v>
      </c>
      <c r="AA56" s="123">
        <v>0</v>
      </c>
      <c r="AB56" s="119">
        <v>0</v>
      </c>
      <c r="AC56" s="104">
        <v>0</v>
      </c>
      <c r="AD56" s="104">
        <v>0</v>
      </c>
      <c r="AE56" s="124">
        <v>8</v>
      </c>
      <c r="AF56" s="123">
        <v>0</v>
      </c>
      <c r="AG56" s="123">
        <v>0</v>
      </c>
      <c r="AH56" s="119" t="s">
        <v>69</v>
      </c>
      <c r="AI56" s="119" t="s">
        <v>69</v>
      </c>
      <c r="AJ56" s="125" t="s">
        <v>734</v>
      </c>
      <c r="AK56" s="119">
        <v>0</v>
      </c>
    </row>
    <row r="57" spans="1:37" x14ac:dyDescent="0.2">
      <c r="A57" s="27" t="s">
        <v>183</v>
      </c>
      <c r="B57" s="111">
        <v>0</v>
      </c>
      <c r="C57" s="31">
        <v>0</v>
      </c>
      <c r="D57" s="112">
        <v>0</v>
      </c>
      <c r="E57" s="113">
        <v>0</v>
      </c>
      <c r="F57" s="114">
        <v>0</v>
      </c>
      <c r="G57" s="115">
        <v>0</v>
      </c>
      <c r="H57" s="116">
        <v>0</v>
      </c>
      <c r="I57" s="117">
        <v>0</v>
      </c>
      <c r="J57" s="118">
        <v>0</v>
      </c>
      <c r="K57" s="118">
        <v>0</v>
      </c>
      <c r="L57" s="113">
        <v>0</v>
      </c>
      <c r="M57" s="113">
        <v>0</v>
      </c>
      <c r="N57" s="113">
        <v>0</v>
      </c>
      <c r="O57" s="119">
        <v>0</v>
      </c>
      <c r="P57" s="60">
        <v>0</v>
      </c>
      <c r="Q57" s="60">
        <v>0</v>
      </c>
      <c r="R57" s="60">
        <v>0</v>
      </c>
      <c r="S57" s="60">
        <v>0</v>
      </c>
      <c r="T57" s="60">
        <v>0</v>
      </c>
      <c r="U57" s="105" t="s">
        <v>69</v>
      </c>
      <c r="V57" s="120">
        <v>47239</v>
      </c>
      <c r="W57" s="60" t="s">
        <v>227</v>
      </c>
      <c r="X57" s="121">
        <v>12</v>
      </c>
      <c r="Y57" s="122">
        <v>0</v>
      </c>
      <c r="Z57" s="119">
        <v>0</v>
      </c>
      <c r="AA57" s="123">
        <v>0</v>
      </c>
      <c r="AB57" s="119">
        <v>0</v>
      </c>
      <c r="AC57" s="104">
        <v>0</v>
      </c>
      <c r="AD57" s="104">
        <v>0</v>
      </c>
      <c r="AE57" s="124">
        <v>9</v>
      </c>
      <c r="AF57" s="123">
        <v>0</v>
      </c>
      <c r="AG57" s="123">
        <v>0</v>
      </c>
      <c r="AH57" s="119" t="s">
        <v>69</v>
      </c>
      <c r="AI57" s="119" t="s">
        <v>69</v>
      </c>
      <c r="AJ57" s="125" t="s">
        <v>183</v>
      </c>
      <c r="AK57" s="119">
        <v>0</v>
      </c>
    </row>
    <row r="58" spans="1:37" x14ac:dyDescent="0.2">
      <c r="A58" s="27" t="s">
        <v>235</v>
      </c>
      <c r="B58" s="111" t="s">
        <v>236</v>
      </c>
      <c r="C58" s="31">
        <v>0</v>
      </c>
      <c r="D58" s="112">
        <v>4426326</v>
      </c>
      <c r="E58" s="113">
        <v>0.04</v>
      </c>
      <c r="F58" s="114">
        <v>180</v>
      </c>
      <c r="G58" s="115">
        <v>15</v>
      </c>
      <c r="H58" s="116" t="s">
        <v>237</v>
      </c>
      <c r="I58" s="117">
        <v>1</v>
      </c>
      <c r="J58" s="118">
        <v>47300</v>
      </c>
      <c r="K58" s="118">
        <v>47239</v>
      </c>
      <c r="L58" s="113">
        <v>0</v>
      </c>
      <c r="M58" s="113">
        <v>0</v>
      </c>
      <c r="N58" s="113">
        <v>0</v>
      </c>
      <c r="O58" s="119">
        <v>0</v>
      </c>
      <c r="P58" s="60">
        <v>0</v>
      </c>
      <c r="Q58" s="60" t="s">
        <v>118</v>
      </c>
      <c r="R58" s="60" t="s">
        <v>118</v>
      </c>
      <c r="S58" s="60" t="s">
        <v>127</v>
      </c>
      <c r="T58" s="60" t="s">
        <v>127</v>
      </c>
      <c r="U58" s="105">
        <v>47300</v>
      </c>
      <c r="V58" s="120">
        <v>47239</v>
      </c>
      <c r="W58" s="60" t="s">
        <v>227</v>
      </c>
      <c r="X58" s="121">
        <v>12</v>
      </c>
      <c r="Y58" s="122">
        <v>0</v>
      </c>
      <c r="Z58" s="119">
        <v>0</v>
      </c>
      <c r="AA58" s="123">
        <v>0</v>
      </c>
      <c r="AB58" s="119">
        <v>0</v>
      </c>
      <c r="AC58" s="104">
        <v>0</v>
      </c>
      <c r="AD58" s="104">
        <v>0</v>
      </c>
      <c r="AE58" s="124">
        <v>10</v>
      </c>
      <c r="AF58" s="123">
        <v>0</v>
      </c>
      <c r="AG58" s="123">
        <v>0</v>
      </c>
      <c r="AH58" s="119" t="s">
        <v>69</v>
      </c>
      <c r="AI58" s="119" t="s">
        <v>69</v>
      </c>
      <c r="AJ58" s="125" t="s">
        <v>235</v>
      </c>
      <c r="AK58" s="119">
        <v>0</v>
      </c>
    </row>
    <row r="59" spans="1:37" x14ac:dyDescent="0.2">
      <c r="A59" s="27" t="s">
        <v>1152</v>
      </c>
      <c r="B59" s="111" t="s">
        <v>230</v>
      </c>
      <c r="C59" s="31">
        <v>0</v>
      </c>
      <c r="D59" s="112">
        <v>0</v>
      </c>
      <c r="E59" s="113">
        <v>0</v>
      </c>
      <c r="F59" s="114">
        <v>720</v>
      </c>
      <c r="G59" s="115">
        <v>60</v>
      </c>
      <c r="H59" s="116" t="s">
        <v>231</v>
      </c>
      <c r="I59" s="117">
        <v>1</v>
      </c>
      <c r="J59" s="118">
        <v>47239</v>
      </c>
      <c r="K59" s="118">
        <v>47239</v>
      </c>
      <c r="L59" s="113">
        <v>0</v>
      </c>
      <c r="M59" s="113">
        <v>0</v>
      </c>
      <c r="N59" s="113">
        <v>0</v>
      </c>
      <c r="O59" s="119">
        <v>0</v>
      </c>
      <c r="P59" s="60">
        <v>0</v>
      </c>
      <c r="Q59" s="60" t="s">
        <v>127</v>
      </c>
      <c r="R59" s="60" t="s">
        <v>127</v>
      </c>
      <c r="S59" s="60" t="s">
        <v>127</v>
      </c>
      <c r="T59" s="60" t="s">
        <v>127</v>
      </c>
      <c r="U59" s="105">
        <v>47239</v>
      </c>
      <c r="V59" s="120">
        <v>47239</v>
      </c>
      <c r="W59" s="60" t="s">
        <v>227</v>
      </c>
      <c r="X59" s="121">
        <v>12</v>
      </c>
      <c r="Y59" s="122">
        <v>0</v>
      </c>
      <c r="Z59" s="119">
        <v>0</v>
      </c>
      <c r="AA59" s="123">
        <v>0</v>
      </c>
      <c r="AB59" s="119">
        <v>0</v>
      </c>
      <c r="AC59" s="104">
        <v>0</v>
      </c>
      <c r="AD59" s="104">
        <v>0</v>
      </c>
      <c r="AE59" s="124">
        <v>11</v>
      </c>
      <c r="AF59" s="123">
        <v>0</v>
      </c>
      <c r="AG59" s="123">
        <v>0</v>
      </c>
      <c r="AH59" s="119" t="s">
        <v>69</v>
      </c>
      <c r="AI59" s="119" t="s">
        <v>69</v>
      </c>
      <c r="AJ59" s="125" t="s">
        <v>1152</v>
      </c>
      <c r="AK59" s="119">
        <v>0</v>
      </c>
    </row>
    <row r="60" spans="1:37" x14ac:dyDescent="0.2">
      <c r="A60" s="27" t="s">
        <v>1153</v>
      </c>
      <c r="B60" s="111" t="s">
        <v>230</v>
      </c>
      <c r="C60" s="31">
        <v>0</v>
      </c>
      <c r="D60" s="112">
        <v>0</v>
      </c>
      <c r="E60" s="113">
        <v>0</v>
      </c>
      <c r="F60" s="114">
        <v>0</v>
      </c>
      <c r="G60" s="115">
        <v>0</v>
      </c>
      <c r="H60" s="116" t="s">
        <v>231</v>
      </c>
      <c r="I60" s="117">
        <v>1</v>
      </c>
      <c r="J60" s="118">
        <v>0</v>
      </c>
      <c r="K60" s="118">
        <v>0</v>
      </c>
      <c r="L60" s="113">
        <v>0</v>
      </c>
      <c r="M60" s="113">
        <v>0</v>
      </c>
      <c r="N60" s="113">
        <v>0</v>
      </c>
      <c r="O60" s="119">
        <v>0</v>
      </c>
      <c r="P60" s="60">
        <v>0</v>
      </c>
      <c r="Q60" s="60" t="s">
        <v>127</v>
      </c>
      <c r="R60" s="60" t="s">
        <v>127</v>
      </c>
      <c r="S60" s="60" t="s">
        <v>127</v>
      </c>
      <c r="T60" s="60" t="s">
        <v>127</v>
      </c>
      <c r="U60" s="105" t="s">
        <v>69</v>
      </c>
      <c r="V60" s="120">
        <v>47239</v>
      </c>
      <c r="W60" s="60" t="s">
        <v>227</v>
      </c>
      <c r="X60" s="121">
        <v>12</v>
      </c>
      <c r="Y60" s="122">
        <v>0</v>
      </c>
      <c r="Z60" s="119">
        <v>0</v>
      </c>
      <c r="AA60" s="123">
        <v>0</v>
      </c>
      <c r="AB60" s="119">
        <v>0</v>
      </c>
      <c r="AC60" s="104">
        <v>0</v>
      </c>
      <c r="AD60" s="104">
        <v>0</v>
      </c>
      <c r="AE60" s="124">
        <v>12</v>
      </c>
      <c r="AF60" s="123">
        <v>0</v>
      </c>
      <c r="AG60" s="123">
        <v>0</v>
      </c>
      <c r="AH60" s="119" t="s">
        <v>69</v>
      </c>
      <c r="AI60" s="119" t="s">
        <v>69</v>
      </c>
      <c r="AJ60" s="125" t="s">
        <v>1153</v>
      </c>
      <c r="AK60" s="119">
        <v>0</v>
      </c>
    </row>
    <row r="61" spans="1:37" x14ac:dyDescent="0.2">
      <c r="A61" s="27" t="s">
        <v>1150</v>
      </c>
      <c r="B61" s="111" t="s">
        <v>225</v>
      </c>
      <c r="C61" s="31">
        <v>2</v>
      </c>
      <c r="D61" s="112">
        <v>28202240</v>
      </c>
      <c r="E61" s="113">
        <v>0.04</v>
      </c>
      <c r="F61" s="114">
        <v>756</v>
      </c>
      <c r="G61" s="115">
        <v>63</v>
      </c>
      <c r="H61" s="116" t="s">
        <v>232</v>
      </c>
      <c r="I61" s="117">
        <v>1</v>
      </c>
      <c r="J61" s="118">
        <v>46174</v>
      </c>
      <c r="K61" s="118">
        <v>61729</v>
      </c>
      <c r="L61" s="113">
        <v>0</v>
      </c>
      <c r="M61" s="113">
        <v>0</v>
      </c>
      <c r="N61" s="113">
        <v>0</v>
      </c>
      <c r="O61" s="119">
        <v>0</v>
      </c>
      <c r="P61" s="60">
        <v>0</v>
      </c>
      <c r="Q61" s="60" t="s">
        <v>118</v>
      </c>
      <c r="R61" s="60" t="s">
        <v>118</v>
      </c>
      <c r="S61" s="60" t="s">
        <v>127</v>
      </c>
      <c r="T61" s="60" t="s">
        <v>118</v>
      </c>
      <c r="U61" s="105">
        <v>47239</v>
      </c>
      <c r="V61" s="120">
        <v>47239</v>
      </c>
      <c r="W61" s="60" t="s">
        <v>227</v>
      </c>
      <c r="X61" s="121">
        <v>12</v>
      </c>
      <c r="Y61" s="122">
        <v>0</v>
      </c>
      <c r="Z61" s="119">
        <v>0</v>
      </c>
      <c r="AA61" s="123">
        <v>0</v>
      </c>
      <c r="AB61" s="119">
        <v>0</v>
      </c>
      <c r="AC61" s="104">
        <v>0</v>
      </c>
      <c r="AD61" s="104">
        <v>0</v>
      </c>
      <c r="AE61" s="124">
        <v>13</v>
      </c>
      <c r="AF61" s="123">
        <v>0</v>
      </c>
      <c r="AG61" s="123">
        <v>0</v>
      </c>
      <c r="AH61" s="119" t="s">
        <v>69</v>
      </c>
      <c r="AI61" s="119" t="s">
        <v>69</v>
      </c>
      <c r="AJ61" s="125" t="s">
        <v>1150</v>
      </c>
      <c r="AK61" s="119">
        <v>0</v>
      </c>
    </row>
    <row r="62" spans="1:37" x14ac:dyDescent="0.2">
      <c r="A62" s="27" t="s">
        <v>1154</v>
      </c>
      <c r="B62" s="111" t="s">
        <v>225</v>
      </c>
      <c r="C62" s="31">
        <v>3</v>
      </c>
      <c r="D62" s="112">
        <v>2000000</v>
      </c>
      <c r="E62" s="113">
        <v>2.5000000000000001E-2</v>
      </c>
      <c r="F62" s="114">
        <v>516</v>
      </c>
      <c r="G62" s="115">
        <v>43</v>
      </c>
      <c r="H62" s="116" t="s">
        <v>232</v>
      </c>
      <c r="I62" s="117">
        <v>1</v>
      </c>
      <c r="J62" s="118">
        <v>46174</v>
      </c>
      <c r="K62" s="118">
        <v>61729</v>
      </c>
      <c r="L62" s="113">
        <v>0</v>
      </c>
      <c r="M62" s="113">
        <v>0</v>
      </c>
      <c r="N62" s="113">
        <v>0</v>
      </c>
      <c r="O62" s="119">
        <v>0</v>
      </c>
      <c r="P62" s="60">
        <v>0</v>
      </c>
      <c r="Q62" s="60" t="s">
        <v>118</v>
      </c>
      <c r="R62" s="60" t="s">
        <v>118</v>
      </c>
      <c r="S62" s="60" t="s">
        <v>127</v>
      </c>
      <c r="T62" s="60" t="s">
        <v>736</v>
      </c>
      <c r="U62" s="105">
        <v>47239</v>
      </c>
      <c r="V62" s="120">
        <v>47239</v>
      </c>
      <c r="W62" s="60" t="s">
        <v>227</v>
      </c>
      <c r="X62" s="121">
        <v>12</v>
      </c>
      <c r="Y62" s="122">
        <v>0</v>
      </c>
      <c r="Z62" s="119">
        <v>0</v>
      </c>
      <c r="AA62" s="123">
        <v>0</v>
      </c>
      <c r="AB62" s="119">
        <v>0</v>
      </c>
      <c r="AC62" s="104">
        <v>0</v>
      </c>
      <c r="AD62" s="104">
        <v>0</v>
      </c>
      <c r="AE62" s="124">
        <v>14</v>
      </c>
      <c r="AF62" s="123">
        <v>0</v>
      </c>
      <c r="AG62" s="123">
        <v>0</v>
      </c>
      <c r="AH62" s="119" t="s">
        <v>69</v>
      </c>
      <c r="AI62" s="119" t="s">
        <v>69</v>
      </c>
      <c r="AJ62" s="125" t="s">
        <v>1154</v>
      </c>
      <c r="AK62" s="119">
        <v>0</v>
      </c>
    </row>
    <row r="63" spans="1:37" x14ac:dyDescent="0.2">
      <c r="A63" s="27" t="s">
        <v>183</v>
      </c>
      <c r="B63" s="111">
        <v>0</v>
      </c>
      <c r="C63" s="31">
        <v>0</v>
      </c>
      <c r="D63" s="112">
        <v>0</v>
      </c>
      <c r="E63" s="113">
        <v>0</v>
      </c>
      <c r="F63" s="114">
        <v>0</v>
      </c>
      <c r="G63" s="115">
        <v>0</v>
      </c>
      <c r="H63" s="116">
        <v>0</v>
      </c>
      <c r="I63" s="117">
        <v>0</v>
      </c>
      <c r="J63" s="118">
        <v>0</v>
      </c>
      <c r="K63" s="118">
        <v>0</v>
      </c>
      <c r="L63" s="113">
        <v>0</v>
      </c>
      <c r="M63" s="113">
        <v>0</v>
      </c>
      <c r="N63" s="113">
        <v>0</v>
      </c>
      <c r="O63" s="119">
        <v>0</v>
      </c>
      <c r="P63" s="60">
        <v>0</v>
      </c>
      <c r="Q63" s="60">
        <v>0</v>
      </c>
      <c r="R63" s="60">
        <v>0</v>
      </c>
      <c r="S63" s="60">
        <v>0</v>
      </c>
      <c r="T63" s="60">
        <v>0</v>
      </c>
      <c r="U63" s="105" t="s">
        <v>69</v>
      </c>
      <c r="V63" s="120">
        <v>47239</v>
      </c>
      <c r="W63" s="60" t="s">
        <v>227</v>
      </c>
      <c r="X63" s="121">
        <v>12</v>
      </c>
      <c r="Y63" s="122">
        <v>0</v>
      </c>
      <c r="Z63" s="119">
        <v>0</v>
      </c>
      <c r="AA63" s="123">
        <v>0</v>
      </c>
      <c r="AB63" s="119">
        <v>0</v>
      </c>
      <c r="AC63" s="104">
        <v>0</v>
      </c>
      <c r="AD63" s="104">
        <v>0</v>
      </c>
      <c r="AE63" s="124">
        <v>15</v>
      </c>
      <c r="AF63" s="123">
        <v>0</v>
      </c>
      <c r="AG63" s="123">
        <v>0</v>
      </c>
      <c r="AH63" s="119" t="s">
        <v>69</v>
      </c>
      <c r="AI63" s="119" t="s">
        <v>69</v>
      </c>
      <c r="AJ63" s="125" t="s">
        <v>183</v>
      </c>
      <c r="AK63" s="119">
        <v>0</v>
      </c>
    </row>
    <row r="64" spans="1:37" x14ac:dyDescent="0.2">
      <c r="A64" s="27" t="s">
        <v>183</v>
      </c>
      <c r="B64" s="111">
        <v>0</v>
      </c>
      <c r="C64" s="31">
        <v>0</v>
      </c>
      <c r="D64" s="112">
        <v>0</v>
      </c>
      <c r="E64" s="113">
        <v>0</v>
      </c>
      <c r="F64" s="114">
        <v>0</v>
      </c>
      <c r="G64" s="115">
        <v>0</v>
      </c>
      <c r="H64" s="116">
        <v>0</v>
      </c>
      <c r="I64" s="117">
        <v>0</v>
      </c>
      <c r="J64" s="118">
        <v>0</v>
      </c>
      <c r="K64" s="118">
        <v>0</v>
      </c>
      <c r="L64" s="113">
        <v>0</v>
      </c>
      <c r="M64" s="113">
        <v>0</v>
      </c>
      <c r="N64" s="113">
        <v>0</v>
      </c>
      <c r="O64" s="119">
        <v>0</v>
      </c>
      <c r="P64" s="60">
        <v>0</v>
      </c>
      <c r="Q64" s="60">
        <v>0</v>
      </c>
      <c r="R64" s="60">
        <v>0</v>
      </c>
      <c r="S64" s="60">
        <v>0</v>
      </c>
      <c r="T64" s="60">
        <v>0</v>
      </c>
      <c r="U64" s="105" t="s">
        <v>69</v>
      </c>
      <c r="V64" s="120">
        <v>47239</v>
      </c>
      <c r="W64" s="60" t="s">
        <v>227</v>
      </c>
      <c r="X64" s="121">
        <v>12</v>
      </c>
      <c r="Y64" s="122">
        <v>0</v>
      </c>
      <c r="Z64" s="119">
        <v>0</v>
      </c>
      <c r="AA64" s="123">
        <v>0</v>
      </c>
      <c r="AB64" s="119">
        <v>0</v>
      </c>
      <c r="AC64" s="104">
        <v>0</v>
      </c>
      <c r="AD64" s="104">
        <v>0</v>
      </c>
      <c r="AE64" s="124">
        <v>16</v>
      </c>
      <c r="AF64" s="123">
        <v>0</v>
      </c>
      <c r="AG64" s="123">
        <v>0</v>
      </c>
      <c r="AH64" s="119" t="s">
        <v>69</v>
      </c>
      <c r="AI64" s="119" t="s">
        <v>69</v>
      </c>
      <c r="AJ64" s="125" t="s">
        <v>183</v>
      </c>
      <c r="AK64" s="119">
        <v>0</v>
      </c>
    </row>
    <row r="65" spans="1:37" x14ac:dyDescent="0.2">
      <c r="A65" s="27" t="s">
        <v>183</v>
      </c>
      <c r="B65" s="111">
        <v>0</v>
      </c>
      <c r="C65" s="31">
        <v>0</v>
      </c>
      <c r="D65" s="112">
        <v>0</v>
      </c>
      <c r="E65" s="113">
        <v>0</v>
      </c>
      <c r="F65" s="114">
        <v>0</v>
      </c>
      <c r="G65" s="115">
        <v>0</v>
      </c>
      <c r="H65" s="116">
        <v>0</v>
      </c>
      <c r="I65" s="117">
        <v>0</v>
      </c>
      <c r="J65" s="118">
        <v>0</v>
      </c>
      <c r="K65" s="118">
        <v>0</v>
      </c>
      <c r="L65" s="113">
        <v>0</v>
      </c>
      <c r="M65" s="113">
        <v>0</v>
      </c>
      <c r="N65" s="113">
        <v>0</v>
      </c>
      <c r="O65" s="119">
        <v>0</v>
      </c>
      <c r="P65" s="60">
        <v>0</v>
      </c>
      <c r="Q65" s="60">
        <v>0</v>
      </c>
      <c r="R65" s="60">
        <v>0</v>
      </c>
      <c r="S65" s="60">
        <v>0</v>
      </c>
      <c r="T65" s="60">
        <v>0</v>
      </c>
      <c r="U65" s="105" t="s">
        <v>69</v>
      </c>
      <c r="V65" s="120">
        <v>47239</v>
      </c>
      <c r="W65" s="60" t="s">
        <v>227</v>
      </c>
      <c r="X65" s="121">
        <v>12</v>
      </c>
      <c r="Y65" s="122">
        <v>0</v>
      </c>
      <c r="Z65" s="119">
        <v>0</v>
      </c>
      <c r="AA65" s="123">
        <v>0</v>
      </c>
      <c r="AB65" s="119">
        <v>0</v>
      </c>
      <c r="AC65" s="104">
        <v>0</v>
      </c>
      <c r="AD65" s="104">
        <v>0</v>
      </c>
      <c r="AE65" s="124">
        <v>17</v>
      </c>
      <c r="AF65" s="123">
        <v>0</v>
      </c>
      <c r="AG65" s="123">
        <v>0</v>
      </c>
      <c r="AH65" s="119" t="s">
        <v>69</v>
      </c>
      <c r="AI65" s="119" t="s">
        <v>69</v>
      </c>
      <c r="AJ65" s="125" t="s">
        <v>183</v>
      </c>
      <c r="AK65" s="119">
        <v>0</v>
      </c>
    </row>
    <row r="66" spans="1:37" x14ac:dyDescent="0.2">
      <c r="A66" s="27" t="s">
        <v>183</v>
      </c>
      <c r="B66" s="111">
        <v>0</v>
      </c>
      <c r="C66" s="31">
        <v>0</v>
      </c>
      <c r="D66" s="112">
        <v>0</v>
      </c>
      <c r="E66" s="113">
        <v>0</v>
      </c>
      <c r="F66" s="114">
        <v>0</v>
      </c>
      <c r="G66" s="115">
        <v>0</v>
      </c>
      <c r="H66" s="116">
        <v>0</v>
      </c>
      <c r="I66" s="117">
        <v>0</v>
      </c>
      <c r="J66" s="118">
        <v>0</v>
      </c>
      <c r="K66" s="118">
        <v>0</v>
      </c>
      <c r="L66" s="113">
        <v>0</v>
      </c>
      <c r="M66" s="113">
        <v>0</v>
      </c>
      <c r="N66" s="113">
        <v>0</v>
      </c>
      <c r="O66" s="119">
        <v>0</v>
      </c>
      <c r="P66" s="60">
        <v>0</v>
      </c>
      <c r="Q66" s="60">
        <v>0</v>
      </c>
      <c r="R66" s="60">
        <v>0</v>
      </c>
      <c r="S66" s="60">
        <v>0</v>
      </c>
      <c r="T66" s="60">
        <v>0</v>
      </c>
      <c r="U66" s="105" t="s">
        <v>69</v>
      </c>
      <c r="V66" s="120">
        <v>47239</v>
      </c>
      <c r="W66" s="60" t="s">
        <v>227</v>
      </c>
      <c r="X66" s="121">
        <v>12</v>
      </c>
      <c r="Y66" s="122">
        <v>0</v>
      </c>
      <c r="Z66" s="119">
        <v>0</v>
      </c>
      <c r="AA66" s="123">
        <v>0</v>
      </c>
      <c r="AB66" s="119">
        <v>0</v>
      </c>
      <c r="AC66" s="104">
        <v>0</v>
      </c>
      <c r="AD66" s="104">
        <v>0</v>
      </c>
      <c r="AE66" s="124">
        <v>18</v>
      </c>
      <c r="AF66" s="123">
        <v>0</v>
      </c>
      <c r="AG66" s="123">
        <v>0</v>
      </c>
      <c r="AH66" s="119" t="s">
        <v>69</v>
      </c>
      <c r="AI66" s="119" t="s">
        <v>69</v>
      </c>
      <c r="AJ66" s="125" t="s">
        <v>183</v>
      </c>
      <c r="AK66" s="119">
        <v>0</v>
      </c>
    </row>
    <row r="67" spans="1:37" x14ac:dyDescent="0.2">
      <c r="A67" s="27" t="s">
        <v>183</v>
      </c>
      <c r="B67" s="111">
        <v>0</v>
      </c>
      <c r="C67" s="31">
        <v>0</v>
      </c>
      <c r="D67" s="112">
        <v>0</v>
      </c>
      <c r="E67" s="113">
        <v>0</v>
      </c>
      <c r="F67" s="114">
        <v>0</v>
      </c>
      <c r="G67" s="115">
        <v>0</v>
      </c>
      <c r="H67" s="116">
        <v>0</v>
      </c>
      <c r="I67" s="117">
        <v>0</v>
      </c>
      <c r="J67" s="118">
        <v>0</v>
      </c>
      <c r="K67" s="118">
        <v>0</v>
      </c>
      <c r="L67" s="113">
        <v>0</v>
      </c>
      <c r="M67" s="113">
        <v>0</v>
      </c>
      <c r="N67" s="113">
        <v>0</v>
      </c>
      <c r="O67" s="119">
        <v>0</v>
      </c>
      <c r="P67" s="60">
        <v>0</v>
      </c>
      <c r="Q67" s="60">
        <v>0</v>
      </c>
      <c r="R67" s="60">
        <v>0</v>
      </c>
      <c r="S67" s="60">
        <v>0</v>
      </c>
      <c r="T67" s="60">
        <v>0</v>
      </c>
      <c r="U67" s="105" t="s">
        <v>69</v>
      </c>
      <c r="V67" s="120">
        <v>47239</v>
      </c>
      <c r="W67" s="60" t="s">
        <v>227</v>
      </c>
      <c r="X67" s="121">
        <v>12</v>
      </c>
      <c r="Y67" s="122">
        <v>0</v>
      </c>
      <c r="Z67" s="119">
        <v>0</v>
      </c>
      <c r="AA67" s="123">
        <v>0</v>
      </c>
      <c r="AB67" s="119">
        <v>0</v>
      </c>
      <c r="AC67" s="104">
        <v>0</v>
      </c>
      <c r="AD67" s="104">
        <v>0</v>
      </c>
      <c r="AE67" s="124">
        <v>19</v>
      </c>
      <c r="AF67" s="123">
        <v>0</v>
      </c>
      <c r="AG67" s="123">
        <v>0</v>
      </c>
      <c r="AH67" s="119" t="s">
        <v>69</v>
      </c>
      <c r="AI67" s="119" t="s">
        <v>69</v>
      </c>
      <c r="AJ67" s="125" t="s">
        <v>183</v>
      </c>
      <c r="AK67" s="119">
        <v>0</v>
      </c>
    </row>
    <row r="68" spans="1:37" x14ac:dyDescent="0.2">
      <c r="A68" s="27" t="s">
        <v>1155</v>
      </c>
      <c r="B68" s="111" t="s">
        <v>1156</v>
      </c>
      <c r="C68" s="31">
        <v>0</v>
      </c>
      <c r="D68" s="112">
        <v>0</v>
      </c>
      <c r="E68" s="113">
        <v>0</v>
      </c>
      <c r="F68" s="114">
        <v>360</v>
      </c>
      <c r="G68" s="115">
        <v>30</v>
      </c>
      <c r="H68" s="116" t="s">
        <v>1157</v>
      </c>
      <c r="I68" s="117">
        <v>1</v>
      </c>
      <c r="J68" s="118">
        <v>47239</v>
      </c>
      <c r="K68" s="118">
        <v>47239</v>
      </c>
      <c r="L68" s="113">
        <v>0</v>
      </c>
      <c r="M68" s="113">
        <v>0.9</v>
      </c>
      <c r="N68" s="113">
        <v>0</v>
      </c>
      <c r="O68" s="119">
        <v>0</v>
      </c>
      <c r="P68" s="60">
        <v>0</v>
      </c>
      <c r="Q68" s="60" t="s">
        <v>118</v>
      </c>
      <c r="R68" s="60" t="s">
        <v>127</v>
      </c>
      <c r="S68" s="60" t="s">
        <v>127</v>
      </c>
      <c r="T68" s="60" t="s">
        <v>127</v>
      </c>
      <c r="U68" s="105">
        <v>47239</v>
      </c>
      <c r="V68" s="120">
        <v>47239</v>
      </c>
      <c r="W68" s="60" t="s">
        <v>227</v>
      </c>
      <c r="X68" s="121">
        <v>12</v>
      </c>
      <c r="Y68" s="122">
        <v>0</v>
      </c>
      <c r="Z68" s="119">
        <v>0</v>
      </c>
      <c r="AA68" s="123">
        <v>0</v>
      </c>
      <c r="AB68" s="119">
        <v>0</v>
      </c>
      <c r="AC68" s="104">
        <v>0</v>
      </c>
      <c r="AD68" s="104">
        <v>0</v>
      </c>
      <c r="AE68" s="124">
        <v>20</v>
      </c>
      <c r="AF68" s="123">
        <v>0</v>
      </c>
      <c r="AG68" s="123">
        <v>0</v>
      </c>
      <c r="AH68" s="119" t="s">
        <v>69</v>
      </c>
      <c r="AI68" s="119" t="s">
        <v>69</v>
      </c>
      <c r="AJ68" s="125" t="s">
        <v>1155</v>
      </c>
      <c r="AK68" s="119">
        <v>0</v>
      </c>
    </row>
    <row r="69" spans="1:37" ht="15.75" thickBot="1" x14ac:dyDescent="0.25">
      <c r="A69" s="4" t="s">
        <v>238</v>
      </c>
      <c r="B69" s="68"/>
      <c r="D69" s="126">
        <v>0</v>
      </c>
      <c r="E69" s="50">
        <v>0</v>
      </c>
      <c r="F69" s="127"/>
      <c r="G69" s="68"/>
      <c r="Z69" s="119">
        <v>1509852</v>
      </c>
      <c r="AA69" s="128"/>
      <c r="AB69" s="119">
        <v>0</v>
      </c>
      <c r="AC69" s="119">
        <v>18907000</v>
      </c>
      <c r="AD69" s="119">
        <v>0</v>
      </c>
      <c r="AE69" s="129"/>
      <c r="AF69" s="130">
        <v>0</v>
      </c>
      <c r="AG69" s="130">
        <v>0</v>
      </c>
      <c r="AH69" s="130">
        <v>0</v>
      </c>
      <c r="AI69" s="130">
        <v>0</v>
      </c>
      <c r="AJ69" s="131"/>
      <c r="AK69" s="119">
        <v>0</v>
      </c>
    </row>
    <row r="70" spans="1:37" x14ac:dyDescent="0.2">
      <c r="A70" s="4" t="s">
        <v>239</v>
      </c>
      <c r="B70" s="68"/>
      <c r="D70" s="126">
        <v>46199</v>
      </c>
      <c r="E70" s="50">
        <v>4.87E-2</v>
      </c>
      <c r="F70" s="127"/>
      <c r="G70" s="68"/>
      <c r="M70" s="16"/>
      <c r="Z70" s="119">
        <v>125821</v>
      </c>
      <c r="AA70" s="128"/>
      <c r="AB70" s="128"/>
      <c r="AF70" s="119" t="s">
        <v>218</v>
      </c>
      <c r="AG70" s="119">
        <v>0</v>
      </c>
    </row>
    <row r="71" spans="1:37" s="132" customFormat="1" x14ac:dyDescent="0.2"/>
    <row r="72" spans="1:37" x14ac:dyDescent="0.2">
      <c r="A72" s="47" t="s">
        <v>240</v>
      </c>
      <c r="B72" s="47"/>
      <c r="C72" s="133">
        <v>46752</v>
      </c>
      <c r="F72" s="4" t="s">
        <v>241</v>
      </c>
      <c r="G72" s="4"/>
      <c r="H72" s="38" t="s">
        <v>127</v>
      </c>
    </row>
    <row r="73" spans="1:37" x14ac:dyDescent="0.2">
      <c r="A73" s="47"/>
      <c r="B73" s="47"/>
      <c r="C73" s="47"/>
    </row>
    <row r="74" spans="1:37" x14ac:dyDescent="0.2">
      <c r="A74" s="47" t="s">
        <v>242</v>
      </c>
      <c r="B74" s="134">
        <v>0.97750017970107927</v>
      </c>
      <c r="C74" s="47" t="s">
        <v>243</v>
      </c>
    </row>
    <row r="75" spans="1:37" x14ac:dyDescent="0.2">
      <c r="A75" s="47"/>
      <c r="B75" s="47"/>
      <c r="C75" s="47"/>
    </row>
    <row r="76" spans="1:37" x14ac:dyDescent="0.2">
      <c r="A76" s="47" t="s">
        <v>244</v>
      </c>
      <c r="B76" s="135">
        <v>4426326</v>
      </c>
      <c r="C76" s="47"/>
    </row>
    <row r="77" spans="1:37" x14ac:dyDescent="0.2">
      <c r="A77" s="47"/>
      <c r="B77" s="47"/>
      <c r="C77" s="47"/>
    </row>
    <row r="78" spans="1:37" x14ac:dyDescent="0.2">
      <c r="A78" s="47" t="s">
        <v>245</v>
      </c>
      <c r="B78" s="40" t="s">
        <v>246</v>
      </c>
      <c r="C78" s="40" t="s">
        <v>247</v>
      </c>
    </row>
    <row r="79" spans="1:37" x14ac:dyDescent="0.2">
      <c r="A79" s="47" t="s">
        <v>248</v>
      </c>
      <c r="B79" s="52">
        <v>6.977547779093296E-2</v>
      </c>
      <c r="C79" s="52">
        <v>6.6164356470108043E-2</v>
      </c>
    </row>
    <row r="80" spans="1:37" x14ac:dyDescent="0.2">
      <c r="A80" s="47"/>
      <c r="B80" s="47"/>
      <c r="C80" s="47"/>
    </row>
    <row r="81" spans="1:7" x14ac:dyDescent="0.2">
      <c r="A81" s="47" t="s">
        <v>249</v>
      </c>
      <c r="B81" s="136">
        <v>1.2591121513896726</v>
      </c>
      <c r="C81" s="47"/>
    </row>
    <row r="82" spans="1:7" s="132" customFormat="1" x14ac:dyDescent="0.2"/>
    <row r="83" spans="1:7" x14ac:dyDescent="0.2">
      <c r="A83" s="17" t="s">
        <v>250</v>
      </c>
      <c r="B83" s="48"/>
      <c r="C83" s="48"/>
      <c r="D83" s="48"/>
      <c r="E83" s="48"/>
      <c r="F83" s="48"/>
      <c r="G83" s="48"/>
    </row>
    <row r="84" spans="1:7" x14ac:dyDescent="0.2">
      <c r="A84" s="78" t="s">
        <v>251</v>
      </c>
      <c r="B84" s="78"/>
      <c r="C84" s="78"/>
      <c r="D84" s="78"/>
      <c r="E84" s="4" t="s">
        <v>252</v>
      </c>
      <c r="F84" s="137">
        <v>0</v>
      </c>
      <c r="G84" s="138">
        <v>0</v>
      </c>
    </row>
    <row r="85" spans="1:7" x14ac:dyDescent="0.2">
      <c r="A85" s="78" t="s">
        <v>1127</v>
      </c>
      <c r="B85" s="78"/>
      <c r="C85" s="78"/>
      <c r="D85" s="78"/>
      <c r="E85" s="139">
        <v>46174</v>
      </c>
      <c r="F85" s="137">
        <v>0.20000002316061574</v>
      </c>
      <c r="G85" s="138">
        <v>3454140</v>
      </c>
    </row>
    <row r="86" spans="1:7" x14ac:dyDescent="0.2">
      <c r="A86" s="78" t="s">
        <v>69</v>
      </c>
      <c r="B86" s="78"/>
      <c r="C86" s="78"/>
      <c r="D86" s="78"/>
      <c r="E86" s="139" t="s">
        <v>69</v>
      </c>
      <c r="F86" s="137">
        <v>0</v>
      </c>
      <c r="G86" s="138">
        <v>0</v>
      </c>
    </row>
    <row r="87" spans="1:7" x14ac:dyDescent="0.2">
      <c r="A87" s="78" t="s">
        <v>69</v>
      </c>
      <c r="B87" s="78"/>
      <c r="C87" s="78"/>
      <c r="D87" s="78"/>
      <c r="E87" s="139" t="s">
        <v>69</v>
      </c>
      <c r="F87" s="137">
        <v>0</v>
      </c>
      <c r="G87" s="138">
        <v>0</v>
      </c>
    </row>
    <row r="88" spans="1:7" x14ac:dyDescent="0.2">
      <c r="A88" s="78" t="s">
        <v>69</v>
      </c>
      <c r="B88" s="78"/>
      <c r="C88" s="78"/>
      <c r="D88" s="78"/>
      <c r="E88" s="139" t="s">
        <v>69</v>
      </c>
      <c r="F88" s="137">
        <v>0</v>
      </c>
      <c r="G88" s="138">
        <v>0</v>
      </c>
    </row>
    <row r="89" spans="1:7" x14ac:dyDescent="0.2">
      <c r="A89" s="78" t="s">
        <v>69</v>
      </c>
      <c r="B89" s="78"/>
      <c r="C89" s="78"/>
      <c r="D89" s="78"/>
      <c r="E89" s="139" t="s">
        <v>69</v>
      </c>
      <c r="F89" s="137">
        <v>0</v>
      </c>
      <c r="G89" s="138">
        <v>0</v>
      </c>
    </row>
    <row r="90" spans="1:7" x14ac:dyDescent="0.2">
      <c r="A90" s="78" t="s">
        <v>1158</v>
      </c>
      <c r="B90" s="78"/>
      <c r="C90" s="78"/>
      <c r="D90" s="78"/>
      <c r="E90" s="139">
        <v>46935</v>
      </c>
      <c r="F90" s="137">
        <v>0.10000001158030787</v>
      </c>
      <c r="G90" s="138">
        <v>1727070</v>
      </c>
    </row>
    <row r="91" spans="1:7" x14ac:dyDescent="0.2">
      <c r="A91" s="78" t="s">
        <v>1159</v>
      </c>
      <c r="B91" s="78"/>
      <c r="C91" s="78"/>
      <c r="D91" s="78"/>
      <c r="E91" s="139">
        <v>47027</v>
      </c>
      <c r="F91" s="137">
        <v>0.25000002895076967</v>
      </c>
      <c r="G91" s="138">
        <v>4317675</v>
      </c>
    </row>
    <row r="92" spans="1:7" x14ac:dyDescent="0.2">
      <c r="A92" s="78" t="s">
        <v>1160</v>
      </c>
      <c r="B92" s="78"/>
      <c r="C92" s="78"/>
      <c r="D92" s="78"/>
      <c r="E92" s="139">
        <v>47058</v>
      </c>
      <c r="F92" s="137">
        <v>5.0000005790153935E-2</v>
      </c>
      <c r="G92" s="138">
        <v>863535</v>
      </c>
    </row>
    <row r="93" spans="1:7" x14ac:dyDescent="0.2">
      <c r="A93" s="78" t="s">
        <v>1161</v>
      </c>
      <c r="B93" s="78"/>
      <c r="C93" s="78"/>
      <c r="D93" s="78"/>
      <c r="E93" s="139">
        <v>47239</v>
      </c>
      <c r="F93" s="137">
        <v>0.37499995657384549</v>
      </c>
      <c r="G93" s="138">
        <v>6476511</v>
      </c>
    </row>
    <row r="94" spans="1:7" x14ac:dyDescent="0.2">
      <c r="A94" s="78" t="s">
        <v>69</v>
      </c>
      <c r="B94" s="78"/>
      <c r="C94" s="78"/>
      <c r="D94" s="78"/>
      <c r="E94" s="139" t="s">
        <v>69</v>
      </c>
      <c r="F94" s="137">
        <v>0</v>
      </c>
      <c r="G94" s="138">
        <v>0</v>
      </c>
    </row>
    <row r="95" spans="1:7" x14ac:dyDescent="0.2">
      <c r="A95" s="78" t="s">
        <v>69</v>
      </c>
      <c r="B95" s="78"/>
      <c r="C95" s="78"/>
      <c r="D95" s="78"/>
      <c r="E95" s="139" t="s">
        <v>69</v>
      </c>
      <c r="F95" s="137">
        <v>0</v>
      </c>
      <c r="G95" s="138">
        <v>0</v>
      </c>
    </row>
    <row r="96" spans="1:7" x14ac:dyDescent="0.2">
      <c r="A96" s="78" t="s">
        <v>1162</v>
      </c>
      <c r="B96" s="78"/>
      <c r="C96" s="78"/>
      <c r="D96" s="78"/>
      <c r="E96" s="139">
        <v>47300</v>
      </c>
      <c r="F96" s="137">
        <v>2.4999973944307287E-2</v>
      </c>
      <c r="G96" s="138">
        <v>431767</v>
      </c>
    </row>
    <row r="97" spans="1:7" ht="15.75" thickBot="1" x14ac:dyDescent="0.25">
      <c r="A97" s="4" t="s">
        <v>176</v>
      </c>
      <c r="G97" s="140">
        <v>17270698</v>
      </c>
    </row>
    <row r="98" spans="1:7" ht="15.75" thickTop="1" x14ac:dyDescent="0.2">
      <c r="A98" s="4"/>
      <c r="G98" s="141"/>
    </row>
    <row r="99" spans="1:7" x14ac:dyDescent="0.2">
      <c r="A99" s="4"/>
      <c r="B99" s="17" t="s">
        <v>253</v>
      </c>
      <c r="C99" s="48"/>
      <c r="D99" s="48"/>
      <c r="E99" s="48"/>
      <c r="F99" s="48"/>
      <c r="G99" s="142"/>
    </row>
    <row r="100" spans="1:7" x14ac:dyDescent="0.2">
      <c r="A100" s="4"/>
      <c r="D100" s="47" t="s">
        <v>254</v>
      </c>
      <c r="G100" s="138">
        <v>9276326</v>
      </c>
    </row>
    <row r="101" spans="1:7" x14ac:dyDescent="0.2">
      <c r="A101" s="4"/>
      <c r="D101" s="47" t="s">
        <v>255</v>
      </c>
      <c r="F101" s="143">
        <v>0.47716369605811609</v>
      </c>
      <c r="G101" s="138">
        <v>4426326</v>
      </c>
    </row>
    <row r="102" spans="1:7" ht="15.75" thickBot="1" x14ac:dyDescent="0.25">
      <c r="A102" s="4"/>
      <c r="D102" s="47" t="s">
        <v>256</v>
      </c>
      <c r="G102" s="140">
        <v>4850000</v>
      </c>
    </row>
    <row r="103" spans="1:7" ht="15.75" thickTop="1" x14ac:dyDescent="0.2">
      <c r="E103" s="144" t="s">
        <v>257</v>
      </c>
      <c r="F103" s="144" t="s">
        <v>258</v>
      </c>
      <c r="G103" s="145"/>
    </row>
    <row r="104" spans="1:7" x14ac:dyDescent="0.2">
      <c r="B104" s="78" t="s">
        <v>1127</v>
      </c>
      <c r="C104" s="78"/>
      <c r="D104" s="139">
        <v>46174</v>
      </c>
      <c r="E104" s="137">
        <v>0.15</v>
      </c>
      <c r="F104" s="137">
        <v>7.8425445591282589E-2</v>
      </c>
      <c r="G104" s="138">
        <v>727500</v>
      </c>
    </row>
    <row r="105" spans="1:7" x14ac:dyDescent="0.2">
      <c r="B105" s="78">
        <v>0</v>
      </c>
      <c r="C105" s="78"/>
      <c r="D105" s="139" t="s">
        <v>69</v>
      </c>
      <c r="E105" s="137">
        <v>0</v>
      </c>
      <c r="F105" s="137" t="s">
        <v>69</v>
      </c>
      <c r="G105" s="138">
        <v>0</v>
      </c>
    </row>
    <row r="106" spans="1:7" x14ac:dyDescent="0.2">
      <c r="B106" s="78">
        <v>0</v>
      </c>
      <c r="C106" s="78"/>
      <c r="D106" s="139" t="s">
        <v>69</v>
      </c>
      <c r="E106" s="137">
        <v>0</v>
      </c>
      <c r="F106" s="137" t="s">
        <v>69</v>
      </c>
      <c r="G106" s="138">
        <v>0</v>
      </c>
    </row>
    <row r="107" spans="1:7" x14ac:dyDescent="0.2">
      <c r="B107" s="78">
        <v>0</v>
      </c>
      <c r="C107" s="78"/>
      <c r="D107" s="139" t="s">
        <v>69</v>
      </c>
      <c r="E107" s="137">
        <v>0</v>
      </c>
      <c r="F107" s="137" t="s">
        <v>69</v>
      </c>
      <c r="G107" s="138">
        <v>0</v>
      </c>
    </row>
    <row r="108" spans="1:7" x14ac:dyDescent="0.2">
      <c r="B108" s="78">
        <v>0</v>
      </c>
      <c r="C108" s="78"/>
      <c r="D108" s="139" t="s">
        <v>69</v>
      </c>
      <c r="E108" s="137">
        <v>0</v>
      </c>
      <c r="F108" s="137" t="s">
        <v>69</v>
      </c>
      <c r="G108" s="138">
        <v>0</v>
      </c>
    </row>
    <row r="109" spans="1:7" x14ac:dyDescent="0.2">
      <c r="B109" s="78" t="s">
        <v>1158</v>
      </c>
      <c r="C109" s="78"/>
      <c r="D109" s="139">
        <v>46935</v>
      </c>
      <c r="E109" s="137">
        <v>0</v>
      </c>
      <c r="F109" s="137" t="s">
        <v>69</v>
      </c>
      <c r="G109" s="138">
        <v>0</v>
      </c>
    </row>
    <row r="110" spans="1:7" x14ac:dyDescent="0.2">
      <c r="B110" s="78" t="s">
        <v>1159</v>
      </c>
      <c r="C110" s="78"/>
      <c r="D110" s="139">
        <v>47027</v>
      </c>
      <c r="E110" s="137">
        <v>0.15</v>
      </c>
      <c r="F110" s="137">
        <v>7.8425445591282589E-2</v>
      </c>
      <c r="G110" s="138">
        <v>727500</v>
      </c>
    </row>
    <row r="111" spans="1:7" x14ac:dyDescent="0.2">
      <c r="B111" s="78" t="s">
        <v>1160</v>
      </c>
      <c r="C111" s="78"/>
      <c r="D111" s="139">
        <v>47058</v>
      </c>
      <c r="E111" s="137">
        <v>0</v>
      </c>
      <c r="F111" s="137" t="s">
        <v>69</v>
      </c>
      <c r="G111" s="138">
        <v>0</v>
      </c>
    </row>
    <row r="112" spans="1:7" x14ac:dyDescent="0.2">
      <c r="B112" s="78" t="s">
        <v>1161</v>
      </c>
      <c r="C112" s="78"/>
      <c r="D112" s="139">
        <v>47239</v>
      </c>
      <c r="E112" s="137">
        <v>0.61097587628865979</v>
      </c>
      <c r="F112" s="137">
        <v>0.31944036895641659</v>
      </c>
      <c r="G112" s="138">
        <v>2963233</v>
      </c>
    </row>
    <row r="113" spans="1:22" x14ac:dyDescent="0.2">
      <c r="B113" s="78">
        <v>0</v>
      </c>
      <c r="C113" s="78"/>
      <c r="D113" s="139" t="s">
        <v>69</v>
      </c>
      <c r="E113" s="137">
        <v>0</v>
      </c>
      <c r="F113" s="137" t="s">
        <v>69</v>
      </c>
      <c r="G113" s="138">
        <v>0</v>
      </c>
    </row>
    <row r="114" spans="1:22" x14ac:dyDescent="0.2">
      <c r="B114" s="78">
        <v>0</v>
      </c>
      <c r="C114" s="78"/>
      <c r="D114" s="139" t="s">
        <v>69</v>
      </c>
      <c r="E114" s="137">
        <v>0</v>
      </c>
      <c r="F114" s="137" t="s">
        <v>69</v>
      </c>
      <c r="G114" s="138">
        <v>0</v>
      </c>
    </row>
    <row r="115" spans="1:22" x14ac:dyDescent="0.2">
      <c r="A115" s="4"/>
      <c r="B115" s="78" t="s">
        <v>1162</v>
      </c>
      <c r="C115" s="78"/>
      <c r="D115" s="139">
        <v>47300</v>
      </c>
      <c r="E115" s="137">
        <v>8.9024123711340206E-2</v>
      </c>
      <c r="F115" s="137">
        <v>4.6545043802902142E-2</v>
      </c>
      <c r="G115" s="138">
        <v>431767</v>
      </c>
    </row>
    <row r="116" spans="1:22" ht="15.75" thickBot="1" x14ac:dyDescent="0.25">
      <c r="A116" s="4"/>
      <c r="G116" s="140">
        <v>4850000</v>
      </c>
    </row>
    <row r="117" spans="1:22" s="132" customFormat="1" ht="15.75" thickTop="1" x14ac:dyDescent="0.2"/>
    <row r="118" spans="1:22" ht="18.75" thickBot="1" x14ac:dyDescent="0.3">
      <c r="A118" s="560" t="s">
        <v>259</v>
      </c>
      <c r="B118" s="561"/>
      <c r="C118" s="561"/>
      <c r="D118" s="561"/>
      <c r="E118" s="2"/>
      <c r="F118" s="2"/>
      <c r="G118" s="2"/>
      <c r="H118" s="2"/>
      <c r="I118" s="2"/>
      <c r="J118" s="2"/>
      <c r="K118" s="2"/>
      <c r="L118" s="2"/>
      <c r="M118" s="2"/>
      <c r="N118" s="146"/>
      <c r="O118" s="2"/>
      <c r="P118" s="2"/>
      <c r="Q118" s="146"/>
      <c r="R118" s="146"/>
      <c r="T118" s="6"/>
      <c r="V118" s="6" t="s">
        <v>260</v>
      </c>
    </row>
    <row r="119" spans="1:22" ht="15.75" x14ac:dyDescent="0.25">
      <c r="A119" s="545" t="s">
        <v>1135</v>
      </c>
      <c r="B119" s="547"/>
      <c r="C119" s="547"/>
      <c r="D119" s="547"/>
      <c r="E119" s="10"/>
      <c r="F119" s="11"/>
      <c r="G119" s="10"/>
      <c r="H119" s="13" t="s">
        <v>71</v>
      </c>
      <c r="I119" s="14">
        <v>46210.286583449073</v>
      </c>
      <c r="J119" s="15">
        <v>46210.286583449073</v>
      </c>
      <c r="K119" s="10"/>
      <c r="L119" s="13"/>
      <c r="M119" s="12"/>
      <c r="N119" s="12"/>
      <c r="O119" s="13"/>
      <c r="P119" s="12"/>
      <c r="Q119" s="12"/>
      <c r="R119" s="10"/>
      <c r="S119" s="10"/>
      <c r="T119" s="13"/>
      <c r="U119" s="10"/>
      <c r="V119" s="13" t="s">
        <v>261</v>
      </c>
    </row>
    <row r="120" spans="1:22" ht="16.5" thickBot="1" x14ac:dyDescent="0.3">
      <c r="A120" s="147"/>
      <c r="C120" s="4"/>
      <c r="D120" s="4"/>
      <c r="E120" s="4"/>
    </row>
    <row r="121" spans="1:22" ht="15.75" thickBot="1" x14ac:dyDescent="0.25">
      <c r="A121" s="148"/>
      <c r="B121" s="149"/>
      <c r="C121" s="149"/>
      <c r="D121" s="95"/>
      <c r="F121" s="16"/>
      <c r="G121" s="150" t="s">
        <v>262</v>
      </c>
      <c r="H121" s="4"/>
      <c r="I121" s="68"/>
      <c r="J121" s="4"/>
      <c r="K121" s="4"/>
      <c r="L121" s="4"/>
      <c r="M121" s="4"/>
      <c r="N121" s="4"/>
      <c r="O121" s="4"/>
      <c r="P121" s="4"/>
      <c r="Q121" s="4"/>
      <c r="R121" s="16"/>
    </row>
    <row r="122" spans="1:22" x14ac:dyDescent="0.2">
      <c r="A122" s="151" t="s">
        <v>263</v>
      </c>
      <c r="B122" s="152" t="s">
        <v>264</v>
      </c>
      <c r="C122" s="153" t="s">
        <v>265</v>
      </c>
      <c r="D122" s="154" t="s">
        <v>266</v>
      </c>
      <c r="F122" s="4"/>
      <c r="G122" s="155"/>
      <c r="H122" s="156" t="s">
        <v>267</v>
      </c>
      <c r="I122" s="156"/>
      <c r="J122" s="156"/>
      <c r="K122" s="157"/>
      <c r="L122" s="4"/>
      <c r="M122" s="158" t="s">
        <v>268</v>
      </c>
      <c r="N122" s="159"/>
      <c r="O122" s="4"/>
      <c r="P122" s="158" t="s">
        <v>269</v>
      </c>
      <c r="Q122" s="159"/>
      <c r="R122" s="16"/>
      <c r="S122" s="158" t="s">
        <v>270</v>
      </c>
      <c r="T122" s="159"/>
      <c r="U122" s="158" t="s">
        <v>271</v>
      </c>
      <c r="V122" s="159"/>
    </row>
    <row r="123" spans="1:22" x14ac:dyDescent="0.2">
      <c r="A123" s="160" t="s">
        <v>1127</v>
      </c>
      <c r="B123" s="161">
        <v>46174</v>
      </c>
      <c r="C123" s="162">
        <v>0.20000002316061574</v>
      </c>
      <c r="D123" s="163">
        <v>3454140</v>
      </c>
      <c r="F123" s="16"/>
      <c r="G123" s="164" t="s">
        <v>272</v>
      </c>
      <c r="H123" s="153" t="s">
        <v>273</v>
      </c>
      <c r="I123" s="153" t="s">
        <v>274</v>
      </c>
      <c r="J123" s="153" t="s">
        <v>275</v>
      </c>
      <c r="K123" s="154" t="s">
        <v>274</v>
      </c>
      <c r="L123" s="165"/>
      <c r="M123" s="166" t="s">
        <v>276</v>
      </c>
      <c r="N123" s="167" t="s">
        <v>274</v>
      </c>
      <c r="O123" s="165"/>
      <c r="P123" s="166" t="s">
        <v>276</v>
      </c>
      <c r="Q123" s="167" t="s">
        <v>274</v>
      </c>
      <c r="R123" s="4"/>
      <c r="S123" s="166" t="s">
        <v>276</v>
      </c>
      <c r="T123" s="167" t="s">
        <v>274</v>
      </c>
      <c r="U123" s="166" t="s">
        <v>276</v>
      </c>
      <c r="V123" s="167" t="s">
        <v>274</v>
      </c>
    </row>
    <row r="124" spans="1:22" x14ac:dyDescent="0.2">
      <c r="A124" s="160" t="s">
        <v>69</v>
      </c>
      <c r="B124" s="161" t="s">
        <v>69</v>
      </c>
      <c r="C124" s="162">
        <v>0</v>
      </c>
      <c r="D124" s="168">
        <v>0</v>
      </c>
      <c r="F124" s="16"/>
      <c r="G124" s="169">
        <v>46753</v>
      </c>
      <c r="H124" s="170">
        <v>0</v>
      </c>
      <c r="I124" s="171">
        <v>0</v>
      </c>
      <c r="J124" s="172">
        <v>0</v>
      </c>
      <c r="K124" s="173">
        <v>0</v>
      </c>
      <c r="L124" s="165"/>
      <c r="M124" s="174">
        <v>0</v>
      </c>
      <c r="N124" s="173">
        <v>0</v>
      </c>
      <c r="O124" s="165"/>
      <c r="P124" s="174">
        <v>0</v>
      </c>
      <c r="Q124" s="173">
        <v>0</v>
      </c>
      <c r="R124" s="4"/>
      <c r="S124" s="174">
        <v>0</v>
      </c>
      <c r="T124" s="175">
        <v>0</v>
      </c>
      <c r="U124" s="174">
        <v>0</v>
      </c>
      <c r="V124" s="175">
        <v>0</v>
      </c>
    </row>
    <row r="125" spans="1:22" x14ac:dyDescent="0.2">
      <c r="A125" s="160" t="s">
        <v>69</v>
      </c>
      <c r="B125" s="161" t="s">
        <v>69</v>
      </c>
      <c r="C125" s="162">
        <v>0</v>
      </c>
      <c r="D125" s="168">
        <v>0</v>
      </c>
      <c r="F125" s="16"/>
      <c r="G125" s="176">
        <v>46784</v>
      </c>
      <c r="H125" s="172">
        <v>0</v>
      </c>
      <c r="I125" s="177">
        <v>0</v>
      </c>
      <c r="J125" s="172">
        <v>0</v>
      </c>
      <c r="K125" s="178">
        <v>0</v>
      </c>
      <c r="L125" s="165"/>
      <c r="M125" s="179">
        <v>0</v>
      </c>
      <c r="N125" s="178">
        <v>0</v>
      </c>
      <c r="O125" s="165"/>
      <c r="P125" s="179">
        <v>0</v>
      </c>
      <c r="Q125" s="178">
        <v>0</v>
      </c>
      <c r="R125" s="4"/>
      <c r="S125" s="179">
        <v>0</v>
      </c>
      <c r="T125" s="178">
        <v>0</v>
      </c>
      <c r="U125" s="179">
        <v>0</v>
      </c>
      <c r="V125" s="178">
        <v>0</v>
      </c>
    </row>
    <row r="126" spans="1:22" x14ac:dyDescent="0.2">
      <c r="A126" s="160" t="s">
        <v>69</v>
      </c>
      <c r="B126" s="161" t="s">
        <v>69</v>
      </c>
      <c r="C126" s="162">
        <v>0</v>
      </c>
      <c r="D126" s="168">
        <v>0</v>
      </c>
      <c r="F126" s="16"/>
      <c r="G126" s="176">
        <v>46813</v>
      </c>
      <c r="H126" s="172">
        <v>0</v>
      </c>
      <c r="I126" s="177">
        <v>0</v>
      </c>
      <c r="J126" s="172">
        <v>0</v>
      </c>
      <c r="K126" s="178">
        <v>0</v>
      </c>
      <c r="L126" s="165"/>
      <c r="M126" s="179">
        <v>0</v>
      </c>
      <c r="N126" s="178">
        <v>0</v>
      </c>
      <c r="O126" s="165"/>
      <c r="P126" s="179">
        <v>0</v>
      </c>
      <c r="Q126" s="178">
        <v>0</v>
      </c>
      <c r="R126" s="4"/>
      <c r="S126" s="179">
        <v>0</v>
      </c>
      <c r="T126" s="178">
        <v>0</v>
      </c>
      <c r="U126" s="179">
        <v>0</v>
      </c>
      <c r="V126" s="178">
        <v>0</v>
      </c>
    </row>
    <row r="127" spans="1:22" x14ac:dyDescent="0.2">
      <c r="A127" s="160" t="s">
        <v>69</v>
      </c>
      <c r="B127" s="161" t="s">
        <v>69</v>
      </c>
      <c r="C127" s="162">
        <v>0</v>
      </c>
      <c r="D127" s="168">
        <v>0</v>
      </c>
      <c r="F127" s="16"/>
      <c r="G127" s="176">
        <v>46844</v>
      </c>
      <c r="H127" s="172">
        <v>0</v>
      </c>
      <c r="I127" s="177">
        <v>0</v>
      </c>
      <c r="J127" s="172">
        <v>0</v>
      </c>
      <c r="K127" s="178">
        <v>0</v>
      </c>
      <c r="L127" s="165"/>
      <c r="M127" s="179">
        <v>0</v>
      </c>
      <c r="N127" s="178">
        <v>0</v>
      </c>
      <c r="O127" s="165"/>
      <c r="P127" s="179">
        <v>0</v>
      </c>
      <c r="Q127" s="178">
        <v>0</v>
      </c>
      <c r="R127" s="4"/>
      <c r="S127" s="179">
        <v>0</v>
      </c>
      <c r="T127" s="178">
        <v>0</v>
      </c>
      <c r="U127" s="179">
        <v>0</v>
      </c>
      <c r="V127" s="178">
        <v>0</v>
      </c>
    </row>
    <row r="128" spans="1:22" x14ac:dyDescent="0.2">
      <c r="A128" s="160" t="s">
        <v>1158</v>
      </c>
      <c r="B128" s="161">
        <v>46935</v>
      </c>
      <c r="C128" s="162">
        <v>0.10000001158030787</v>
      </c>
      <c r="D128" s="168">
        <v>1727070</v>
      </c>
      <c r="F128" s="16"/>
      <c r="G128" s="176">
        <v>46874</v>
      </c>
      <c r="H128" s="172">
        <v>0</v>
      </c>
      <c r="I128" s="177">
        <v>0</v>
      </c>
      <c r="J128" s="172">
        <v>0</v>
      </c>
      <c r="K128" s="178">
        <v>0</v>
      </c>
      <c r="L128" s="165"/>
      <c r="M128" s="179">
        <v>0</v>
      </c>
      <c r="N128" s="178">
        <v>0</v>
      </c>
      <c r="O128" s="165"/>
      <c r="P128" s="179">
        <v>0</v>
      </c>
      <c r="Q128" s="178">
        <v>0</v>
      </c>
      <c r="R128" s="4"/>
      <c r="S128" s="179">
        <v>0</v>
      </c>
      <c r="T128" s="178">
        <v>0</v>
      </c>
      <c r="U128" s="179">
        <v>0</v>
      </c>
      <c r="V128" s="178">
        <v>0</v>
      </c>
    </row>
    <row r="129" spans="1:22" x14ac:dyDescent="0.2">
      <c r="A129" s="160" t="s">
        <v>1159</v>
      </c>
      <c r="B129" s="161">
        <v>47027</v>
      </c>
      <c r="C129" s="162">
        <v>0.25000002895076967</v>
      </c>
      <c r="D129" s="168">
        <v>4317675</v>
      </c>
      <c r="F129" s="16"/>
      <c r="G129" s="176">
        <v>46905</v>
      </c>
      <c r="H129" s="172">
        <v>0</v>
      </c>
      <c r="I129" s="177">
        <v>0</v>
      </c>
      <c r="J129" s="172">
        <v>0</v>
      </c>
      <c r="K129" s="178">
        <v>0</v>
      </c>
      <c r="L129" s="165"/>
      <c r="M129" s="179">
        <v>0</v>
      </c>
      <c r="N129" s="178">
        <v>0</v>
      </c>
      <c r="O129" s="165"/>
      <c r="P129" s="179">
        <v>0</v>
      </c>
      <c r="Q129" s="178">
        <v>0</v>
      </c>
      <c r="R129" s="4"/>
      <c r="S129" s="179">
        <v>0</v>
      </c>
      <c r="T129" s="178">
        <v>0</v>
      </c>
      <c r="U129" s="179">
        <v>0</v>
      </c>
      <c r="V129" s="178">
        <v>0</v>
      </c>
    </row>
    <row r="130" spans="1:22" x14ac:dyDescent="0.2">
      <c r="A130" s="160" t="s">
        <v>1160</v>
      </c>
      <c r="B130" s="161">
        <v>47058</v>
      </c>
      <c r="C130" s="162">
        <v>5.0000005790153935E-2</v>
      </c>
      <c r="D130" s="168">
        <v>863535</v>
      </c>
      <c r="F130" s="16"/>
      <c r="G130" s="176">
        <v>46935</v>
      </c>
      <c r="H130" s="172">
        <v>0</v>
      </c>
      <c r="I130" s="177">
        <v>0</v>
      </c>
      <c r="J130" s="172">
        <v>0</v>
      </c>
      <c r="K130" s="178">
        <v>0</v>
      </c>
      <c r="L130" s="165"/>
      <c r="M130" s="179">
        <v>0</v>
      </c>
      <c r="N130" s="178">
        <v>0</v>
      </c>
      <c r="O130" s="165"/>
      <c r="P130" s="179">
        <v>0</v>
      </c>
      <c r="Q130" s="178">
        <v>0</v>
      </c>
      <c r="R130" s="4"/>
      <c r="S130" s="179">
        <v>0</v>
      </c>
      <c r="T130" s="178">
        <v>0</v>
      </c>
      <c r="U130" s="179">
        <v>0</v>
      </c>
      <c r="V130" s="178">
        <v>0</v>
      </c>
    </row>
    <row r="131" spans="1:22" x14ac:dyDescent="0.2">
      <c r="A131" s="160" t="s">
        <v>1161</v>
      </c>
      <c r="B131" s="161">
        <v>47239</v>
      </c>
      <c r="C131" s="162">
        <v>0.37499995657384549</v>
      </c>
      <c r="D131" s="168">
        <v>6476511</v>
      </c>
      <c r="F131" s="16"/>
      <c r="G131" s="176">
        <v>46966</v>
      </c>
      <c r="H131" s="172">
        <v>0</v>
      </c>
      <c r="I131" s="177">
        <v>0</v>
      </c>
      <c r="J131" s="172">
        <v>0</v>
      </c>
      <c r="K131" s="178">
        <v>0</v>
      </c>
      <c r="L131" s="165"/>
      <c r="M131" s="179">
        <v>0</v>
      </c>
      <c r="N131" s="178">
        <v>0</v>
      </c>
      <c r="O131" s="165"/>
      <c r="P131" s="179">
        <v>0</v>
      </c>
      <c r="Q131" s="178">
        <v>0</v>
      </c>
      <c r="R131" s="4"/>
      <c r="S131" s="179">
        <v>0</v>
      </c>
      <c r="T131" s="178">
        <v>0</v>
      </c>
      <c r="U131" s="179">
        <v>0</v>
      </c>
      <c r="V131" s="178">
        <v>0</v>
      </c>
    </row>
    <row r="132" spans="1:22" x14ac:dyDescent="0.2">
      <c r="A132" s="160" t="s">
        <v>69</v>
      </c>
      <c r="B132" s="161" t="s">
        <v>69</v>
      </c>
      <c r="C132" s="162">
        <v>0</v>
      </c>
      <c r="D132" s="168">
        <v>0</v>
      </c>
      <c r="F132" s="16"/>
      <c r="G132" s="176">
        <v>46997</v>
      </c>
      <c r="H132" s="172">
        <v>0</v>
      </c>
      <c r="I132" s="177">
        <v>0</v>
      </c>
      <c r="J132" s="172">
        <v>0</v>
      </c>
      <c r="K132" s="178">
        <v>0</v>
      </c>
      <c r="L132" s="165"/>
      <c r="M132" s="179">
        <v>1</v>
      </c>
      <c r="N132" s="178">
        <v>1</v>
      </c>
      <c r="O132" s="165"/>
      <c r="P132" s="179">
        <v>0</v>
      </c>
      <c r="Q132" s="178">
        <v>0</v>
      </c>
      <c r="R132" s="4"/>
      <c r="S132" s="179">
        <v>97</v>
      </c>
      <c r="T132" s="178">
        <v>1</v>
      </c>
      <c r="U132" s="179">
        <v>0</v>
      </c>
      <c r="V132" s="178">
        <v>0</v>
      </c>
    </row>
    <row r="133" spans="1:22" x14ac:dyDescent="0.2">
      <c r="A133" s="160" t="s">
        <v>69</v>
      </c>
      <c r="B133" s="161" t="s">
        <v>69</v>
      </c>
      <c r="C133" s="162">
        <v>0</v>
      </c>
      <c r="D133" s="168">
        <v>0</v>
      </c>
      <c r="F133" s="16"/>
      <c r="G133" s="176">
        <v>47027</v>
      </c>
      <c r="H133" s="172">
        <v>20</v>
      </c>
      <c r="I133" s="177">
        <v>0.20833333333333334</v>
      </c>
      <c r="J133" s="172">
        <v>0</v>
      </c>
      <c r="K133" s="178">
        <v>0</v>
      </c>
      <c r="L133" s="165"/>
      <c r="M133" s="179">
        <v>0</v>
      </c>
      <c r="N133" s="178">
        <v>1</v>
      </c>
      <c r="O133" s="165"/>
      <c r="P133" s="179">
        <v>0</v>
      </c>
      <c r="Q133" s="178">
        <v>0</v>
      </c>
      <c r="R133" s="4"/>
      <c r="S133" s="179">
        <v>0</v>
      </c>
      <c r="T133" s="178">
        <v>1</v>
      </c>
      <c r="U133" s="179">
        <v>0</v>
      </c>
      <c r="V133" s="178">
        <v>0</v>
      </c>
    </row>
    <row r="134" spans="1:22" x14ac:dyDescent="0.2">
      <c r="A134" s="160" t="s">
        <v>1162</v>
      </c>
      <c r="B134" s="161">
        <v>47300</v>
      </c>
      <c r="C134" s="162">
        <v>2.4999973944307287E-2</v>
      </c>
      <c r="D134" s="168">
        <v>431767</v>
      </c>
      <c r="F134" s="16"/>
      <c r="G134" s="176">
        <v>47058</v>
      </c>
      <c r="H134" s="172">
        <v>20</v>
      </c>
      <c r="I134" s="177">
        <v>0.41666666666666669</v>
      </c>
      <c r="J134" s="172">
        <v>0</v>
      </c>
      <c r="K134" s="178">
        <v>0</v>
      </c>
      <c r="L134" s="165"/>
      <c r="M134" s="179">
        <v>0</v>
      </c>
      <c r="N134" s="178">
        <v>1</v>
      </c>
      <c r="O134" s="165"/>
      <c r="P134" s="179">
        <v>0</v>
      </c>
      <c r="Q134" s="178">
        <v>0</v>
      </c>
      <c r="R134" s="4"/>
      <c r="S134" s="179">
        <v>0</v>
      </c>
      <c r="T134" s="178">
        <v>1</v>
      </c>
      <c r="U134" s="179">
        <v>0</v>
      </c>
      <c r="V134" s="178">
        <v>0</v>
      </c>
    </row>
    <row r="135" spans="1:22" x14ac:dyDescent="0.2">
      <c r="A135" s="180"/>
      <c r="B135" s="181"/>
      <c r="C135" s="42"/>
      <c r="D135" s="182"/>
      <c r="F135" s="16"/>
      <c r="G135" s="176">
        <v>47088</v>
      </c>
      <c r="H135" s="172">
        <v>20</v>
      </c>
      <c r="I135" s="177">
        <v>0.625</v>
      </c>
      <c r="J135" s="172">
        <v>0</v>
      </c>
      <c r="K135" s="178">
        <v>0</v>
      </c>
      <c r="L135" s="165"/>
      <c r="M135" s="179">
        <v>0</v>
      </c>
      <c r="N135" s="178">
        <v>1</v>
      </c>
      <c r="O135" s="165"/>
      <c r="P135" s="179">
        <v>0</v>
      </c>
      <c r="Q135" s="178">
        <v>0</v>
      </c>
      <c r="R135" s="4"/>
      <c r="S135" s="179">
        <v>0</v>
      </c>
      <c r="T135" s="178">
        <v>1</v>
      </c>
      <c r="U135" s="179">
        <v>0</v>
      </c>
      <c r="V135" s="178">
        <v>0</v>
      </c>
    </row>
    <row r="136" spans="1:22" x14ac:dyDescent="0.2">
      <c r="A136" s="180"/>
      <c r="B136" s="181"/>
      <c r="C136" s="42"/>
      <c r="D136" s="182"/>
      <c r="F136" s="16"/>
      <c r="G136" s="176">
        <v>47119</v>
      </c>
      <c r="H136" s="172">
        <v>20</v>
      </c>
      <c r="I136" s="177">
        <v>0.83333333333333337</v>
      </c>
      <c r="J136" s="172">
        <v>80</v>
      </c>
      <c r="K136" s="178">
        <v>0.83333333333333337</v>
      </c>
      <c r="L136" s="165"/>
      <c r="M136" s="179">
        <v>0</v>
      </c>
      <c r="N136" s="178">
        <v>1</v>
      </c>
      <c r="O136" s="165"/>
      <c r="P136" s="179">
        <v>0</v>
      </c>
      <c r="Q136" s="178">
        <v>0</v>
      </c>
      <c r="R136" s="4"/>
      <c r="S136" s="179">
        <v>0</v>
      </c>
      <c r="T136" s="178">
        <v>1</v>
      </c>
      <c r="U136" s="179">
        <v>0</v>
      </c>
      <c r="V136" s="178">
        <v>0</v>
      </c>
    </row>
    <row r="137" spans="1:22" x14ac:dyDescent="0.2">
      <c r="A137" s="180"/>
      <c r="B137" s="181"/>
      <c r="C137" s="42"/>
      <c r="D137" s="182"/>
      <c r="F137" s="16"/>
      <c r="G137" s="176">
        <v>47150</v>
      </c>
      <c r="H137" s="172">
        <v>16</v>
      </c>
      <c r="I137" s="177">
        <v>1</v>
      </c>
      <c r="J137" s="172">
        <v>16</v>
      </c>
      <c r="K137" s="178">
        <v>1</v>
      </c>
      <c r="L137" s="165"/>
      <c r="M137" s="179">
        <v>0</v>
      </c>
      <c r="N137" s="178">
        <v>1</v>
      </c>
      <c r="O137" s="165"/>
      <c r="P137" s="179">
        <v>0</v>
      </c>
      <c r="Q137" s="178">
        <v>0</v>
      </c>
      <c r="R137" s="4"/>
      <c r="S137" s="179">
        <v>0</v>
      </c>
      <c r="T137" s="178">
        <v>1</v>
      </c>
      <c r="U137" s="179">
        <v>0</v>
      </c>
      <c r="V137" s="178">
        <v>0</v>
      </c>
    </row>
    <row r="138" spans="1:22" x14ac:dyDescent="0.2">
      <c r="A138" s="183" t="s">
        <v>251</v>
      </c>
      <c r="B138" s="181"/>
      <c r="C138" s="184"/>
      <c r="D138" s="182"/>
      <c r="F138" s="16"/>
      <c r="G138" s="176">
        <v>47178</v>
      </c>
      <c r="H138" s="172">
        <v>0</v>
      </c>
      <c r="I138" s="177">
        <v>1</v>
      </c>
      <c r="J138" s="172">
        <v>0</v>
      </c>
      <c r="K138" s="178">
        <v>1</v>
      </c>
      <c r="L138" s="165"/>
      <c r="M138" s="179">
        <v>0</v>
      </c>
      <c r="N138" s="178">
        <v>1</v>
      </c>
      <c r="O138" s="165"/>
      <c r="P138" s="179">
        <v>0</v>
      </c>
      <c r="Q138" s="178">
        <v>0</v>
      </c>
      <c r="R138" s="4"/>
      <c r="S138" s="179">
        <v>0</v>
      </c>
      <c r="T138" s="178">
        <v>1</v>
      </c>
      <c r="U138" s="179">
        <v>0</v>
      </c>
      <c r="V138" s="178">
        <v>0</v>
      </c>
    </row>
    <row r="139" spans="1:22" x14ac:dyDescent="0.2">
      <c r="A139" s="151" t="s">
        <v>277</v>
      </c>
      <c r="B139" s="152" t="s">
        <v>264</v>
      </c>
      <c r="C139" s="153"/>
      <c r="D139" s="185" t="s">
        <v>266</v>
      </c>
      <c r="F139" s="16"/>
      <c r="G139" s="176">
        <v>47209</v>
      </c>
      <c r="H139" s="172">
        <v>0</v>
      </c>
      <c r="I139" s="177">
        <v>1</v>
      </c>
      <c r="J139" s="172">
        <v>0</v>
      </c>
      <c r="K139" s="178">
        <v>1</v>
      </c>
      <c r="L139" s="165"/>
      <c r="M139" s="179">
        <v>0</v>
      </c>
      <c r="N139" s="178">
        <v>1</v>
      </c>
      <c r="O139" s="165"/>
      <c r="P139" s="179">
        <v>0</v>
      </c>
      <c r="Q139" s="178">
        <v>0</v>
      </c>
      <c r="R139" s="4"/>
      <c r="S139" s="179">
        <v>0</v>
      </c>
      <c r="T139" s="178">
        <v>1</v>
      </c>
      <c r="U139" s="179">
        <v>0</v>
      </c>
      <c r="V139" s="178">
        <v>0</v>
      </c>
    </row>
    <row r="140" spans="1:22" x14ac:dyDescent="0.2">
      <c r="A140" s="186" t="s">
        <v>278</v>
      </c>
      <c r="B140" s="161">
        <v>46174</v>
      </c>
      <c r="C140" s="162">
        <v>0</v>
      </c>
      <c r="D140" s="168">
        <v>0</v>
      </c>
      <c r="F140" s="16"/>
      <c r="G140" s="176">
        <v>47239</v>
      </c>
      <c r="H140" s="172">
        <v>0</v>
      </c>
      <c r="I140" s="177">
        <v>1</v>
      </c>
      <c r="J140" s="172">
        <v>0</v>
      </c>
      <c r="K140" s="178">
        <v>1</v>
      </c>
      <c r="L140" s="165"/>
      <c r="M140" s="179">
        <v>0</v>
      </c>
      <c r="N140" s="178">
        <v>1</v>
      </c>
      <c r="O140" s="165"/>
      <c r="P140" s="179">
        <v>0</v>
      </c>
      <c r="Q140" s="178">
        <v>0</v>
      </c>
      <c r="R140" s="4"/>
      <c r="S140" s="179">
        <v>0</v>
      </c>
      <c r="T140" s="178">
        <v>1</v>
      </c>
      <c r="U140" s="179">
        <v>0</v>
      </c>
      <c r="V140" s="178">
        <v>0</v>
      </c>
    </row>
    <row r="141" spans="1:22" x14ac:dyDescent="0.2">
      <c r="A141" s="186" t="s">
        <v>279</v>
      </c>
      <c r="B141" s="187">
        <v>46204</v>
      </c>
      <c r="C141" s="162">
        <v>0</v>
      </c>
      <c r="D141" s="168">
        <v>0</v>
      </c>
      <c r="F141" s="16"/>
      <c r="G141" s="176">
        <v>47270</v>
      </c>
      <c r="H141" s="172">
        <v>0</v>
      </c>
      <c r="I141" s="177">
        <v>1</v>
      </c>
      <c r="J141" s="172">
        <v>0</v>
      </c>
      <c r="K141" s="178">
        <v>1</v>
      </c>
      <c r="L141" s="165"/>
      <c r="M141" s="179">
        <v>0</v>
      </c>
      <c r="N141" s="178">
        <v>1</v>
      </c>
      <c r="O141" s="165"/>
      <c r="P141" s="179">
        <v>0</v>
      </c>
      <c r="Q141" s="178">
        <v>0</v>
      </c>
      <c r="R141" s="4"/>
      <c r="S141" s="179">
        <v>0</v>
      </c>
      <c r="T141" s="178">
        <v>1</v>
      </c>
      <c r="U141" s="179">
        <v>0</v>
      </c>
      <c r="V141" s="178">
        <v>0</v>
      </c>
    </row>
    <row r="142" spans="1:22" x14ac:dyDescent="0.2">
      <c r="A142" s="186" t="s">
        <v>280</v>
      </c>
      <c r="B142" s="187">
        <v>46235</v>
      </c>
      <c r="C142" s="162">
        <v>0</v>
      </c>
      <c r="D142" s="168">
        <v>0</v>
      </c>
      <c r="F142" s="16"/>
      <c r="G142" s="176">
        <v>47300</v>
      </c>
      <c r="H142" s="172">
        <v>0</v>
      </c>
      <c r="I142" s="177">
        <v>1</v>
      </c>
      <c r="J142" s="172">
        <v>0</v>
      </c>
      <c r="K142" s="178">
        <v>1</v>
      </c>
      <c r="L142" s="165"/>
      <c r="M142" s="179">
        <v>0</v>
      </c>
      <c r="N142" s="178">
        <v>1</v>
      </c>
      <c r="O142" s="165"/>
      <c r="P142" s="179">
        <v>0</v>
      </c>
      <c r="Q142" s="178">
        <v>0</v>
      </c>
      <c r="R142" s="4"/>
      <c r="S142" s="179">
        <v>0</v>
      </c>
      <c r="T142" s="178">
        <v>1</v>
      </c>
      <c r="U142" s="179">
        <v>0</v>
      </c>
      <c r="V142" s="178">
        <v>0</v>
      </c>
    </row>
    <row r="143" spans="1:22" x14ac:dyDescent="0.2">
      <c r="A143" s="186" t="s">
        <v>281</v>
      </c>
      <c r="B143" s="187">
        <v>46266</v>
      </c>
      <c r="C143" s="162">
        <v>0</v>
      </c>
      <c r="D143" s="168">
        <v>0</v>
      </c>
      <c r="F143" s="16"/>
      <c r="G143" s="176">
        <v>47331</v>
      </c>
      <c r="H143" s="172">
        <v>0</v>
      </c>
      <c r="I143" s="177">
        <v>1</v>
      </c>
      <c r="J143" s="172">
        <v>0</v>
      </c>
      <c r="K143" s="178">
        <v>1</v>
      </c>
      <c r="L143" s="165"/>
      <c r="M143" s="179">
        <v>0</v>
      </c>
      <c r="N143" s="178">
        <v>1</v>
      </c>
      <c r="O143" s="165"/>
      <c r="P143" s="179">
        <v>0</v>
      </c>
      <c r="Q143" s="178">
        <v>0</v>
      </c>
      <c r="R143" s="4"/>
      <c r="S143" s="179">
        <v>0</v>
      </c>
      <c r="T143" s="178">
        <v>1</v>
      </c>
      <c r="U143" s="179">
        <v>0</v>
      </c>
      <c r="V143" s="178">
        <v>0</v>
      </c>
    </row>
    <row r="144" spans="1:22" x14ac:dyDescent="0.2">
      <c r="A144" s="186" t="s">
        <v>282</v>
      </c>
      <c r="B144" s="187">
        <v>46296</v>
      </c>
      <c r="C144" s="162">
        <v>0</v>
      </c>
      <c r="D144" s="168">
        <v>0</v>
      </c>
      <c r="F144" s="16"/>
      <c r="G144" s="176">
        <v>47362</v>
      </c>
      <c r="H144" s="172">
        <v>0</v>
      </c>
      <c r="I144" s="177">
        <v>1</v>
      </c>
      <c r="J144" s="172">
        <v>0</v>
      </c>
      <c r="K144" s="178">
        <v>1</v>
      </c>
      <c r="L144" s="165"/>
      <c r="M144" s="179">
        <v>0</v>
      </c>
      <c r="N144" s="178">
        <v>1</v>
      </c>
      <c r="O144" s="165"/>
      <c r="P144" s="179">
        <v>0</v>
      </c>
      <c r="Q144" s="178">
        <v>0</v>
      </c>
      <c r="R144" s="4"/>
      <c r="S144" s="179">
        <v>0</v>
      </c>
      <c r="T144" s="178">
        <v>1</v>
      </c>
      <c r="U144" s="179">
        <v>0</v>
      </c>
      <c r="V144" s="178">
        <v>0</v>
      </c>
    </row>
    <row r="145" spans="1:22" x14ac:dyDescent="0.2">
      <c r="A145" s="186" t="s">
        <v>283</v>
      </c>
      <c r="B145" s="187">
        <v>46327</v>
      </c>
      <c r="C145" s="162">
        <v>0</v>
      </c>
      <c r="D145" s="168">
        <v>0</v>
      </c>
      <c r="F145" s="16"/>
      <c r="G145" s="176">
        <v>47392</v>
      </c>
      <c r="H145" s="172">
        <v>0</v>
      </c>
      <c r="I145" s="177">
        <v>1</v>
      </c>
      <c r="J145" s="172">
        <v>0</v>
      </c>
      <c r="K145" s="178">
        <v>1</v>
      </c>
      <c r="L145" s="165"/>
      <c r="M145" s="179">
        <v>0</v>
      </c>
      <c r="N145" s="178">
        <v>1</v>
      </c>
      <c r="O145" s="165"/>
      <c r="P145" s="179">
        <v>0</v>
      </c>
      <c r="Q145" s="178">
        <v>0</v>
      </c>
      <c r="R145" s="4"/>
      <c r="S145" s="179">
        <v>0</v>
      </c>
      <c r="T145" s="178">
        <v>1</v>
      </c>
      <c r="U145" s="179">
        <v>0</v>
      </c>
      <c r="V145" s="178">
        <v>0</v>
      </c>
    </row>
    <row r="146" spans="1:22" x14ac:dyDescent="0.2">
      <c r="A146" s="186" t="s">
        <v>284</v>
      </c>
      <c r="B146" s="187">
        <v>46357</v>
      </c>
      <c r="C146" s="162">
        <v>0</v>
      </c>
      <c r="D146" s="168">
        <v>0</v>
      </c>
      <c r="F146" s="16"/>
      <c r="G146" s="176">
        <v>47423</v>
      </c>
      <c r="H146" s="172">
        <v>0</v>
      </c>
      <c r="I146" s="177">
        <v>1</v>
      </c>
      <c r="J146" s="172">
        <v>0</v>
      </c>
      <c r="K146" s="178">
        <v>1</v>
      </c>
      <c r="L146" s="165"/>
      <c r="M146" s="179">
        <v>0</v>
      </c>
      <c r="N146" s="178">
        <v>1</v>
      </c>
      <c r="O146" s="165"/>
      <c r="P146" s="179">
        <v>0</v>
      </c>
      <c r="Q146" s="178">
        <v>0</v>
      </c>
      <c r="R146" s="4"/>
      <c r="S146" s="179">
        <v>0</v>
      </c>
      <c r="T146" s="178">
        <v>1</v>
      </c>
      <c r="U146" s="179">
        <v>0</v>
      </c>
      <c r="V146" s="178">
        <v>0</v>
      </c>
    </row>
    <row r="147" spans="1:22" x14ac:dyDescent="0.2">
      <c r="A147" s="186" t="s">
        <v>285</v>
      </c>
      <c r="B147" s="187">
        <v>46388</v>
      </c>
      <c r="C147" s="162">
        <v>0</v>
      </c>
      <c r="D147" s="168">
        <v>0</v>
      </c>
      <c r="F147" s="16"/>
      <c r="G147" s="176">
        <v>47453</v>
      </c>
      <c r="H147" s="172">
        <v>0</v>
      </c>
      <c r="I147" s="177">
        <v>1</v>
      </c>
      <c r="J147" s="172">
        <v>0</v>
      </c>
      <c r="K147" s="178">
        <v>1</v>
      </c>
      <c r="L147" s="165"/>
      <c r="M147" s="179">
        <v>0</v>
      </c>
      <c r="N147" s="178">
        <v>1</v>
      </c>
      <c r="O147" s="165"/>
      <c r="P147" s="179">
        <v>0</v>
      </c>
      <c r="Q147" s="178">
        <v>0</v>
      </c>
      <c r="R147" s="4"/>
      <c r="S147" s="179">
        <v>0</v>
      </c>
      <c r="T147" s="178">
        <v>1</v>
      </c>
      <c r="U147" s="179">
        <v>0</v>
      </c>
      <c r="V147" s="178">
        <v>0</v>
      </c>
    </row>
    <row r="148" spans="1:22" x14ac:dyDescent="0.2">
      <c r="A148" s="186" t="s">
        <v>286</v>
      </c>
      <c r="B148" s="187">
        <v>46419</v>
      </c>
      <c r="C148" s="162">
        <v>0</v>
      </c>
      <c r="D148" s="168">
        <v>0</v>
      </c>
      <c r="F148" s="16"/>
      <c r="G148" s="176">
        <v>47484</v>
      </c>
      <c r="H148" s="172">
        <v>0</v>
      </c>
      <c r="I148" s="177">
        <v>1</v>
      </c>
      <c r="J148" s="172">
        <v>0</v>
      </c>
      <c r="K148" s="178">
        <v>1</v>
      </c>
      <c r="L148" s="165"/>
      <c r="M148" s="179">
        <v>0</v>
      </c>
      <c r="N148" s="178">
        <v>1</v>
      </c>
      <c r="O148" s="165"/>
      <c r="P148" s="179">
        <v>0</v>
      </c>
      <c r="Q148" s="178">
        <v>0</v>
      </c>
      <c r="R148" s="4"/>
      <c r="S148" s="179">
        <v>0</v>
      </c>
      <c r="T148" s="178">
        <v>1</v>
      </c>
      <c r="U148" s="179">
        <v>0</v>
      </c>
      <c r="V148" s="178">
        <v>0</v>
      </c>
    </row>
    <row r="149" spans="1:22" x14ac:dyDescent="0.2">
      <c r="A149" s="186" t="s">
        <v>287</v>
      </c>
      <c r="B149" s="187">
        <v>46447</v>
      </c>
      <c r="C149" s="162">
        <v>0</v>
      </c>
      <c r="D149" s="168">
        <v>0</v>
      </c>
      <c r="F149" s="16"/>
      <c r="G149" s="176">
        <v>47515</v>
      </c>
      <c r="H149" s="172">
        <v>0</v>
      </c>
      <c r="I149" s="177">
        <v>1</v>
      </c>
      <c r="J149" s="172">
        <v>0</v>
      </c>
      <c r="K149" s="178">
        <v>1</v>
      </c>
      <c r="L149" s="165"/>
      <c r="M149" s="179">
        <v>0</v>
      </c>
      <c r="N149" s="178">
        <v>1</v>
      </c>
      <c r="O149" s="165"/>
      <c r="P149" s="179">
        <v>0</v>
      </c>
      <c r="Q149" s="178">
        <v>0</v>
      </c>
      <c r="R149" s="4"/>
      <c r="S149" s="179">
        <v>0</v>
      </c>
      <c r="T149" s="178">
        <v>1</v>
      </c>
      <c r="U149" s="179">
        <v>0</v>
      </c>
      <c r="V149" s="178">
        <v>0</v>
      </c>
    </row>
    <row r="150" spans="1:22" x14ac:dyDescent="0.2">
      <c r="A150" s="186" t="s">
        <v>288</v>
      </c>
      <c r="B150" s="187">
        <v>46478</v>
      </c>
      <c r="C150" s="162">
        <v>0</v>
      </c>
      <c r="D150" s="168">
        <v>0</v>
      </c>
      <c r="F150" s="16"/>
      <c r="G150" s="176">
        <v>47543</v>
      </c>
      <c r="H150" s="172">
        <v>0</v>
      </c>
      <c r="I150" s="177">
        <v>1</v>
      </c>
      <c r="J150" s="172">
        <v>0</v>
      </c>
      <c r="K150" s="178">
        <v>1</v>
      </c>
      <c r="L150" s="165"/>
      <c r="M150" s="179">
        <v>0</v>
      </c>
      <c r="N150" s="178">
        <v>1</v>
      </c>
      <c r="O150" s="165"/>
      <c r="P150" s="179">
        <v>0</v>
      </c>
      <c r="Q150" s="178">
        <v>0</v>
      </c>
      <c r="R150" s="4"/>
      <c r="S150" s="179">
        <v>0</v>
      </c>
      <c r="T150" s="178">
        <v>1</v>
      </c>
      <c r="U150" s="179">
        <v>0</v>
      </c>
      <c r="V150" s="178">
        <v>0</v>
      </c>
    </row>
    <row r="151" spans="1:22" x14ac:dyDescent="0.2">
      <c r="A151" s="186" t="s">
        <v>289</v>
      </c>
      <c r="B151" s="187">
        <v>46508</v>
      </c>
      <c r="C151" s="162">
        <v>0</v>
      </c>
      <c r="D151" s="168">
        <v>0</v>
      </c>
      <c r="F151" s="16"/>
      <c r="G151" s="176">
        <v>47574</v>
      </c>
      <c r="H151" s="172">
        <v>0</v>
      </c>
      <c r="I151" s="177">
        <v>1</v>
      </c>
      <c r="J151" s="172">
        <v>0</v>
      </c>
      <c r="K151" s="178">
        <v>1</v>
      </c>
      <c r="L151" s="165"/>
      <c r="M151" s="179">
        <v>0</v>
      </c>
      <c r="N151" s="178">
        <v>1</v>
      </c>
      <c r="O151" s="165"/>
      <c r="P151" s="179">
        <v>0</v>
      </c>
      <c r="Q151" s="178">
        <v>0</v>
      </c>
      <c r="R151" s="4"/>
      <c r="S151" s="179">
        <v>0</v>
      </c>
      <c r="T151" s="178">
        <v>1</v>
      </c>
      <c r="U151" s="179">
        <v>0</v>
      </c>
      <c r="V151" s="178">
        <v>0</v>
      </c>
    </row>
    <row r="152" spans="1:22" x14ac:dyDescent="0.2">
      <c r="A152" s="186" t="s">
        <v>290</v>
      </c>
      <c r="B152" s="187">
        <v>46539</v>
      </c>
      <c r="C152" s="162">
        <v>0</v>
      </c>
      <c r="D152" s="168">
        <v>0</v>
      </c>
      <c r="F152" s="16"/>
      <c r="G152" s="176">
        <v>47604</v>
      </c>
      <c r="H152" s="172">
        <v>0</v>
      </c>
      <c r="I152" s="177">
        <v>1</v>
      </c>
      <c r="J152" s="172">
        <v>0</v>
      </c>
      <c r="K152" s="178">
        <v>1</v>
      </c>
      <c r="L152" s="165"/>
      <c r="M152" s="179">
        <v>0</v>
      </c>
      <c r="N152" s="178">
        <v>1</v>
      </c>
      <c r="O152" s="165"/>
      <c r="P152" s="179">
        <v>0</v>
      </c>
      <c r="Q152" s="178">
        <v>0</v>
      </c>
      <c r="R152" s="4"/>
      <c r="S152" s="179">
        <v>0</v>
      </c>
      <c r="T152" s="178">
        <v>1</v>
      </c>
      <c r="U152" s="179">
        <v>0</v>
      </c>
      <c r="V152" s="178">
        <v>0</v>
      </c>
    </row>
    <row r="153" spans="1:22" x14ac:dyDescent="0.2">
      <c r="A153" s="186" t="s">
        <v>291</v>
      </c>
      <c r="B153" s="187">
        <v>46569</v>
      </c>
      <c r="C153" s="162">
        <v>0</v>
      </c>
      <c r="D153" s="168">
        <v>0</v>
      </c>
      <c r="F153" s="16"/>
      <c r="G153" s="176">
        <v>47635</v>
      </c>
      <c r="H153" s="172">
        <v>0</v>
      </c>
      <c r="I153" s="177">
        <v>1</v>
      </c>
      <c r="J153" s="172">
        <v>0</v>
      </c>
      <c r="K153" s="178">
        <v>1</v>
      </c>
      <c r="L153" s="165"/>
      <c r="M153" s="179">
        <v>0</v>
      </c>
      <c r="N153" s="178">
        <v>1</v>
      </c>
      <c r="O153" s="165"/>
      <c r="P153" s="179">
        <v>0</v>
      </c>
      <c r="Q153" s="178">
        <v>0</v>
      </c>
      <c r="R153" s="4"/>
      <c r="S153" s="179">
        <v>0</v>
      </c>
      <c r="T153" s="178">
        <v>1</v>
      </c>
      <c r="U153" s="179">
        <v>0</v>
      </c>
      <c r="V153" s="178">
        <v>0</v>
      </c>
    </row>
    <row r="154" spans="1:22" x14ac:dyDescent="0.2">
      <c r="A154" s="186" t="s">
        <v>292</v>
      </c>
      <c r="B154" s="187">
        <v>46600</v>
      </c>
      <c r="C154" s="162">
        <v>0</v>
      </c>
      <c r="D154" s="168">
        <v>0</v>
      </c>
      <c r="F154" s="16"/>
      <c r="G154" s="176">
        <v>47665</v>
      </c>
      <c r="H154" s="172">
        <v>0</v>
      </c>
      <c r="I154" s="177">
        <v>1</v>
      </c>
      <c r="J154" s="172">
        <v>0</v>
      </c>
      <c r="K154" s="178">
        <v>1</v>
      </c>
      <c r="L154" s="165"/>
      <c r="M154" s="179">
        <v>0</v>
      </c>
      <c r="N154" s="178">
        <v>1</v>
      </c>
      <c r="O154" s="165"/>
      <c r="P154" s="179">
        <v>0</v>
      </c>
      <c r="Q154" s="178">
        <v>0</v>
      </c>
      <c r="R154" s="4"/>
      <c r="S154" s="179">
        <v>0</v>
      </c>
      <c r="T154" s="178">
        <v>1</v>
      </c>
      <c r="U154" s="179">
        <v>0</v>
      </c>
      <c r="V154" s="178">
        <v>0</v>
      </c>
    </row>
    <row r="155" spans="1:22" x14ac:dyDescent="0.2">
      <c r="A155" s="186" t="s">
        <v>293</v>
      </c>
      <c r="B155" s="187">
        <v>46631</v>
      </c>
      <c r="C155" s="162">
        <v>0</v>
      </c>
      <c r="D155" s="168">
        <v>0</v>
      </c>
      <c r="F155" s="16"/>
      <c r="G155" s="176">
        <v>47696</v>
      </c>
      <c r="H155" s="172">
        <v>0</v>
      </c>
      <c r="I155" s="177">
        <v>1</v>
      </c>
      <c r="J155" s="172">
        <v>0</v>
      </c>
      <c r="K155" s="178">
        <v>1</v>
      </c>
      <c r="L155" s="165"/>
      <c r="M155" s="179">
        <v>0</v>
      </c>
      <c r="N155" s="178">
        <v>1</v>
      </c>
      <c r="O155" s="165"/>
      <c r="P155" s="179">
        <v>0</v>
      </c>
      <c r="Q155" s="178">
        <v>0</v>
      </c>
      <c r="R155" s="4"/>
      <c r="S155" s="179">
        <v>0</v>
      </c>
      <c r="T155" s="178">
        <v>1</v>
      </c>
      <c r="U155" s="179">
        <v>0</v>
      </c>
      <c r="V155" s="178">
        <v>0</v>
      </c>
    </row>
    <row r="156" spans="1:22" x14ac:dyDescent="0.2">
      <c r="A156" s="186" t="s">
        <v>294</v>
      </c>
      <c r="B156" s="187">
        <v>46661</v>
      </c>
      <c r="C156" s="162">
        <v>0</v>
      </c>
      <c r="D156" s="168">
        <v>0</v>
      </c>
      <c r="F156" s="16"/>
      <c r="G156" s="176">
        <v>47727</v>
      </c>
      <c r="H156" s="172">
        <v>0</v>
      </c>
      <c r="I156" s="177">
        <v>1</v>
      </c>
      <c r="J156" s="172">
        <v>0</v>
      </c>
      <c r="K156" s="178">
        <v>1</v>
      </c>
      <c r="L156" s="165"/>
      <c r="M156" s="179">
        <v>0</v>
      </c>
      <c r="N156" s="178">
        <v>1</v>
      </c>
      <c r="O156" s="165"/>
      <c r="P156" s="179">
        <v>0</v>
      </c>
      <c r="Q156" s="178">
        <v>0</v>
      </c>
      <c r="R156" s="4"/>
      <c r="S156" s="179">
        <v>0</v>
      </c>
      <c r="T156" s="178">
        <v>1</v>
      </c>
      <c r="U156" s="179">
        <v>0</v>
      </c>
      <c r="V156" s="178">
        <v>0</v>
      </c>
    </row>
    <row r="157" spans="1:22" x14ac:dyDescent="0.2">
      <c r="A157" s="186" t="s">
        <v>295</v>
      </c>
      <c r="B157" s="187">
        <v>46692</v>
      </c>
      <c r="C157" s="162">
        <v>0</v>
      </c>
      <c r="D157" s="168">
        <v>0</v>
      </c>
      <c r="F157" s="16"/>
      <c r="G157" s="176">
        <v>47757</v>
      </c>
      <c r="H157" s="172">
        <v>0</v>
      </c>
      <c r="I157" s="177">
        <v>1</v>
      </c>
      <c r="J157" s="172">
        <v>0</v>
      </c>
      <c r="K157" s="178">
        <v>1</v>
      </c>
      <c r="L157" s="165"/>
      <c r="M157" s="179">
        <v>0</v>
      </c>
      <c r="N157" s="178">
        <v>1</v>
      </c>
      <c r="O157" s="165"/>
      <c r="P157" s="179">
        <v>0</v>
      </c>
      <c r="Q157" s="178">
        <v>0</v>
      </c>
      <c r="R157" s="4"/>
      <c r="S157" s="179">
        <v>0</v>
      </c>
      <c r="T157" s="178">
        <v>1</v>
      </c>
      <c r="U157" s="179">
        <v>0</v>
      </c>
      <c r="V157" s="178">
        <v>0</v>
      </c>
    </row>
    <row r="158" spans="1:22" x14ac:dyDescent="0.2">
      <c r="A158" s="186" t="s">
        <v>296</v>
      </c>
      <c r="B158" s="187">
        <v>46722</v>
      </c>
      <c r="C158" s="162">
        <v>0</v>
      </c>
      <c r="D158" s="168">
        <v>0</v>
      </c>
      <c r="F158" s="16"/>
      <c r="G158" s="176">
        <v>47788</v>
      </c>
      <c r="H158" s="172">
        <v>0</v>
      </c>
      <c r="I158" s="177">
        <v>1</v>
      </c>
      <c r="J158" s="172">
        <v>0</v>
      </c>
      <c r="K158" s="178">
        <v>1</v>
      </c>
      <c r="L158" s="165"/>
      <c r="M158" s="179">
        <v>0</v>
      </c>
      <c r="N158" s="178">
        <v>1</v>
      </c>
      <c r="O158" s="165"/>
      <c r="P158" s="179">
        <v>0</v>
      </c>
      <c r="Q158" s="178">
        <v>0</v>
      </c>
      <c r="R158" s="4"/>
      <c r="S158" s="179">
        <v>0</v>
      </c>
      <c r="T158" s="178">
        <v>1</v>
      </c>
      <c r="U158" s="179">
        <v>0</v>
      </c>
      <c r="V158" s="178">
        <v>0</v>
      </c>
    </row>
    <row r="159" spans="1:22" x14ac:dyDescent="0.2">
      <c r="A159" s="186" t="s">
        <v>297</v>
      </c>
      <c r="B159" s="187">
        <v>46753</v>
      </c>
      <c r="C159" s="162">
        <v>0</v>
      </c>
      <c r="D159" s="168">
        <v>0</v>
      </c>
      <c r="F159" s="16"/>
      <c r="G159" s="176">
        <v>47818</v>
      </c>
      <c r="H159" s="172">
        <v>0</v>
      </c>
      <c r="I159" s="177">
        <v>1</v>
      </c>
      <c r="J159" s="172">
        <v>0</v>
      </c>
      <c r="K159" s="178">
        <v>1</v>
      </c>
      <c r="L159" s="165"/>
      <c r="M159" s="179">
        <v>0</v>
      </c>
      <c r="N159" s="178">
        <v>1</v>
      </c>
      <c r="O159" s="165"/>
      <c r="P159" s="179">
        <v>0</v>
      </c>
      <c r="Q159" s="178">
        <v>0</v>
      </c>
      <c r="R159" s="4"/>
      <c r="S159" s="179">
        <v>0</v>
      </c>
      <c r="T159" s="178">
        <v>1</v>
      </c>
      <c r="U159" s="179">
        <v>0</v>
      </c>
      <c r="V159" s="178">
        <v>0</v>
      </c>
    </row>
    <row r="160" spans="1:22" x14ac:dyDescent="0.2">
      <c r="A160" s="186" t="s">
        <v>298</v>
      </c>
      <c r="B160" s="187">
        <v>46784</v>
      </c>
      <c r="C160" s="162">
        <v>0</v>
      </c>
      <c r="D160" s="168">
        <v>0</v>
      </c>
      <c r="F160" s="16"/>
      <c r="G160" s="176">
        <v>47849</v>
      </c>
      <c r="H160" s="172">
        <v>0</v>
      </c>
      <c r="I160" s="177">
        <v>1</v>
      </c>
      <c r="J160" s="172">
        <v>0</v>
      </c>
      <c r="K160" s="178">
        <v>1</v>
      </c>
      <c r="L160" s="165"/>
      <c r="M160" s="179">
        <v>0</v>
      </c>
      <c r="N160" s="178">
        <v>1</v>
      </c>
      <c r="O160" s="165"/>
      <c r="P160" s="179">
        <v>0</v>
      </c>
      <c r="Q160" s="178">
        <v>0</v>
      </c>
      <c r="R160" s="4"/>
      <c r="S160" s="179">
        <v>0</v>
      </c>
      <c r="T160" s="178">
        <v>1</v>
      </c>
      <c r="U160" s="179">
        <v>0</v>
      </c>
      <c r="V160" s="178">
        <v>0</v>
      </c>
    </row>
    <row r="161" spans="1:32" x14ac:dyDescent="0.2">
      <c r="A161" s="186" t="s">
        <v>299</v>
      </c>
      <c r="B161" s="187">
        <v>46813</v>
      </c>
      <c r="C161" s="162">
        <v>0</v>
      </c>
      <c r="D161" s="168">
        <v>0</v>
      </c>
      <c r="F161" s="16"/>
      <c r="G161" s="176">
        <v>47880</v>
      </c>
      <c r="H161" s="172">
        <v>0</v>
      </c>
      <c r="I161" s="177">
        <v>1</v>
      </c>
      <c r="J161" s="172">
        <v>0</v>
      </c>
      <c r="K161" s="178">
        <v>1</v>
      </c>
      <c r="L161" s="165"/>
      <c r="M161" s="179">
        <v>0</v>
      </c>
      <c r="N161" s="178">
        <v>1</v>
      </c>
      <c r="O161" s="165"/>
      <c r="P161" s="179">
        <v>0</v>
      </c>
      <c r="Q161" s="178">
        <v>0</v>
      </c>
      <c r="R161" s="4"/>
      <c r="S161" s="179">
        <v>0</v>
      </c>
      <c r="T161" s="178">
        <v>1</v>
      </c>
      <c r="U161" s="179">
        <v>0</v>
      </c>
      <c r="V161" s="178">
        <v>0</v>
      </c>
    </row>
    <row r="162" spans="1:32" x14ac:dyDescent="0.2">
      <c r="A162" s="186" t="s">
        <v>300</v>
      </c>
      <c r="B162" s="187">
        <v>46844</v>
      </c>
      <c r="C162" s="162">
        <v>0</v>
      </c>
      <c r="D162" s="168">
        <v>0</v>
      </c>
      <c r="F162" s="16"/>
      <c r="G162" s="176">
        <v>47908</v>
      </c>
      <c r="H162" s="172">
        <v>0</v>
      </c>
      <c r="I162" s="177">
        <v>1</v>
      </c>
      <c r="J162" s="172">
        <v>0</v>
      </c>
      <c r="K162" s="178">
        <v>1</v>
      </c>
      <c r="L162" s="165"/>
      <c r="M162" s="179">
        <v>0</v>
      </c>
      <c r="N162" s="178">
        <v>1</v>
      </c>
      <c r="O162" s="165"/>
      <c r="P162" s="179">
        <v>0</v>
      </c>
      <c r="Q162" s="178">
        <v>0</v>
      </c>
      <c r="R162" s="4"/>
      <c r="S162" s="179">
        <v>0</v>
      </c>
      <c r="T162" s="178">
        <v>1</v>
      </c>
      <c r="U162" s="179">
        <v>0</v>
      </c>
      <c r="V162" s="178">
        <v>0</v>
      </c>
    </row>
    <row r="163" spans="1:32" x14ac:dyDescent="0.2">
      <c r="A163" s="186" t="s">
        <v>301</v>
      </c>
      <c r="B163" s="187">
        <v>46874</v>
      </c>
      <c r="C163" s="162">
        <v>0</v>
      </c>
      <c r="D163" s="168">
        <v>0</v>
      </c>
      <c r="F163" s="16"/>
      <c r="G163" s="176">
        <v>47939</v>
      </c>
      <c r="H163" s="172">
        <v>0</v>
      </c>
      <c r="I163" s="177">
        <v>1</v>
      </c>
      <c r="J163" s="172">
        <v>0</v>
      </c>
      <c r="K163" s="178">
        <v>1</v>
      </c>
      <c r="L163" s="165"/>
      <c r="M163" s="179">
        <v>0</v>
      </c>
      <c r="N163" s="178">
        <v>1</v>
      </c>
      <c r="O163" s="165"/>
      <c r="P163" s="179">
        <v>0</v>
      </c>
      <c r="Q163" s="178">
        <v>0</v>
      </c>
      <c r="R163" s="4"/>
      <c r="S163" s="179">
        <v>0</v>
      </c>
      <c r="T163" s="178">
        <v>1</v>
      </c>
      <c r="U163" s="179">
        <v>0</v>
      </c>
      <c r="V163" s="178">
        <v>0</v>
      </c>
    </row>
    <row r="164" spans="1:32" ht="15.75" thickBot="1" x14ac:dyDescent="0.25">
      <c r="A164" s="188" t="s">
        <v>176</v>
      </c>
      <c r="B164" s="189"/>
      <c r="C164" s="42"/>
      <c r="D164" s="190">
        <v>17270698</v>
      </c>
      <c r="F164" s="16"/>
      <c r="G164" s="176">
        <v>47969</v>
      </c>
      <c r="H164" s="172">
        <v>0</v>
      </c>
      <c r="I164" s="177">
        <v>1</v>
      </c>
      <c r="J164" s="172">
        <v>0</v>
      </c>
      <c r="K164" s="178">
        <v>1</v>
      </c>
      <c r="L164" s="165"/>
      <c r="M164" s="179">
        <v>0</v>
      </c>
      <c r="N164" s="178">
        <v>1</v>
      </c>
      <c r="O164" s="165"/>
      <c r="P164" s="179">
        <v>0</v>
      </c>
      <c r="Q164" s="178">
        <v>0</v>
      </c>
      <c r="R164" s="4"/>
      <c r="S164" s="179">
        <v>0</v>
      </c>
      <c r="T164" s="178">
        <v>1</v>
      </c>
      <c r="U164" s="179">
        <v>0</v>
      </c>
      <c r="V164" s="178">
        <v>0</v>
      </c>
    </row>
    <row r="165" spans="1:32" ht="15.75" thickTop="1" x14ac:dyDescent="0.2">
      <c r="A165" s="180"/>
      <c r="B165" s="191" t="s">
        <v>69</v>
      </c>
      <c r="C165" s="42"/>
      <c r="D165" s="192">
        <v>0</v>
      </c>
      <c r="F165" s="16"/>
      <c r="G165" s="176">
        <v>48000</v>
      </c>
      <c r="H165" s="172">
        <v>0</v>
      </c>
      <c r="I165" s="177">
        <v>1</v>
      </c>
      <c r="J165" s="172">
        <v>0</v>
      </c>
      <c r="K165" s="178">
        <v>1</v>
      </c>
      <c r="L165" s="165"/>
      <c r="M165" s="179">
        <v>0</v>
      </c>
      <c r="N165" s="178">
        <v>1</v>
      </c>
      <c r="O165" s="165"/>
      <c r="P165" s="179">
        <v>0</v>
      </c>
      <c r="Q165" s="178">
        <v>0</v>
      </c>
      <c r="R165" s="4"/>
      <c r="S165" s="179">
        <v>0</v>
      </c>
      <c r="T165" s="178">
        <v>1</v>
      </c>
      <c r="U165" s="179">
        <v>0</v>
      </c>
      <c r="V165" s="178">
        <v>0</v>
      </c>
    </row>
    <row r="166" spans="1:32" x14ac:dyDescent="0.2">
      <c r="A166" s="180"/>
      <c r="B166" s="189"/>
      <c r="C166" s="42"/>
      <c r="D166" s="182"/>
      <c r="F166" s="16"/>
      <c r="G166" s="176">
        <v>48030</v>
      </c>
      <c r="H166" s="172">
        <v>0</v>
      </c>
      <c r="I166" s="177">
        <v>1</v>
      </c>
      <c r="J166" s="172">
        <v>0</v>
      </c>
      <c r="K166" s="178">
        <v>1</v>
      </c>
      <c r="L166" s="165"/>
      <c r="M166" s="179">
        <v>0</v>
      </c>
      <c r="N166" s="178">
        <v>1</v>
      </c>
      <c r="O166" s="165"/>
      <c r="P166" s="179">
        <v>0</v>
      </c>
      <c r="Q166" s="178">
        <v>0</v>
      </c>
      <c r="R166" s="4"/>
      <c r="S166" s="179">
        <v>0</v>
      </c>
      <c r="T166" s="178">
        <v>1</v>
      </c>
      <c r="U166" s="179">
        <v>0</v>
      </c>
      <c r="V166" s="178">
        <v>0</v>
      </c>
    </row>
    <row r="167" spans="1:32" x14ac:dyDescent="0.2">
      <c r="A167" s="193" t="s">
        <v>302</v>
      </c>
      <c r="B167" s="194"/>
      <c r="C167" s="49"/>
      <c r="D167" s="195"/>
      <c r="F167" s="16"/>
      <c r="G167" s="176">
        <v>48061</v>
      </c>
      <c r="H167" s="172">
        <v>0</v>
      </c>
      <c r="I167" s="177">
        <v>1</v>
      </c>
      <c r="J167" s="172">
        <v>0</v>
      </c>
      <c r="K167" s="178">
        <v>1</v>
      </c>
      <c r="L167" s="165"/>
      <c r="M167" s="179">
        <v>0</v>
      </c>
      <c r="N167" s="178">
        <v>1</v>
      </c>
      <c r="O167" s="165"/>
      <c r="P167" s="179">
        <v>0</v>
      </c>
      <c r="Q167" s="178">
        <v>0</v>
      </c>
      <c r="R167" s="4"/>
      <c r="S167" s="179">
        <v>0</v>
      </c>
      <c r="T167" s="178">
        <v>1</v>
      </c>
      <c r="U167" s="179">
        <v>0</v>
      </c>
      <c r="V167" s="178">
        <v>0</v>
      </c>
    </row>
    <row r="168" spans="1:32" x14ac:dyDescent="0.2">
      <c r="A168" s="186" t="s">
        <v>657</v>
      </c>
      <c r="B168" s="161" t="s">
        <v>69</v>
      </c>
      <c r="C168" s="162">
        <v>0</v>
      </c>
      <c r="D168" s="168">
        <v>0</v>
      </c>
      <c r="F168" s="16"/>
      <c r="G168" s="176">
        <v>48092</v>
      </c>
      <c r="H168" s="172">
        <v>0</v>
      </c>
      <c r="I168" s="177">
        <v>1</v>
      </c>
      <c r="J168" s="172">
        <v>0</v>
      </c>
      <c r="K168" s="178">
        <v>1</v>
      </c>
      <c r="L168" s="165"/>
      <c r="M168" s="179">
        <v>0</v>
      </c>
      <c r="N168" s="178">
        <v>1</v>
      </c>
      <c r="O168" s="165"/>
      <c r="P168" s="179">
        <v>0</v>
      </c>
      <c r="Q168" s="178">
        <v>0</v>
      </c>
      <c r="R168" s="4"/>
      <c r="S168" s="179">
        <v>0</v>
      </c>
      <c r="T168" s="178">
        <v>1</v>
      </c>
      <c r="U168" s="179">
        <v>0</v>
      </c>
      <c r="V168" s="178">
        <v>0</v>
      </c>
    </row>
    <row r="169" spans="1:32" x14ac:dyDescent="0.2">
      <c r="A169" s="186" t="s">
        <v>303</v>
      </c>
      <c r="B169" s="161" t="s">
        <v>69</v>
      </c>
      <c r="C169" s="162">
        <v>0</v>
      </c>
      <c r="D169" s="168">
        <v>0</v>
      </c>
      <c r="F169" s="16"/>
      <c r="G169" s="176">
        <v>48122</v>
      </c>
      <c r="H169" s="172">
        <v>0</v>
      </c>
      <c r="I169" s="177">
        <v>1</v>
      </c>
      <c r="J169" s="172">
        <v>0</v>
      </c>
      <c r="K169" s="178">
        <v>1</v>
      </c>
      <c r="L169" s="165"/>
      <c r="M169" s="179">
        <v>0</v>
      </c>
      <c r="N169" s="178">
        <v>1</v>
      </c>
      <c r="O169" s="165"/>
      <c r="P169" s="179">
        <v>0</v>
      </c>
      <c r="Q169" s="178">
        <v>0</v>
      </c>
      <c r="R169" s="4"/>
      <c r="S169" s="179">
        <v>0</v>
      </c>
      <c r="T169" s="178">
        <v>1</v>
      </c>
      <c r="U169" s="179">
        <v>0</v>
      </c>
      <c r="V169" s="178">
        <v>0</v>
      </c>
    </row>
    <row r="170" spans="1:32" x14ac:dyDescent="0.2">
      <c r="A170" s="186" t="s">
        <v>658</v>
      </c>
      <c r="B170" s="161" t="s">
        <v>69</v>
      </c>
      <c r="C170" s="162">
        <v>0</v>
      </c>
      <c r="D170" s="168">
        <v>0</v>
      </c>
      <c r="F170" s="16"/>
      <c r="G170" s="176">
        <v>48153</v>
      </c>
      <c r="H170" s="172">
        <v>0</v>
      </c>
      <c r="I170" s="177">
        <v>1</v>
      </c>
      <c r="J170" s="172">
        <v>0</v>
      </c>
      <c r="K170" s="178">
        <v>1</v>
      </c>
      <c r="L170" s="165"/>
      <c r="M170" s="179">
        <v>0</v>
      </c>
      <c r="N170" s="178">
        <v>1</v>
      </c>
      <c r="O170" s="165"/>
      <c r="P170" s="179">
        <v>0</v>
      </c>
      <c r="Q170" s="178">
        <v>0</v>
      </c>
      <c r="R170" s="4"/>
      <c r="S170" s="179">
        <v>0</v>
      </c>
      <c r="T170" s="178">
        <v>1</v>
      </c>
      <c r="U170" s="179">
        <v>0</v>
      </c>
      <c r="V170" s="178">
        <v>0</v>
      </c>
    </row>
    <row r="171" spans="1:32" x14ac:dyDescent="0.2">
      <c r="A171" s="186" t="s">
        <v>304</v>
      </c>
      <c r="B171" s="161" t="s">
        <v>69</v>
      </c>
      <c r="C171" s="162">
        <v>0</v>
      </c>
      <c r="D171" s="168">
        <v>0</v>
      </c>
      <c r="F171" s="16"/>
      <c r="G171" s="196">
        <v>48183</v>
      </c>
      <c r="H171" s="197">
        <v>0</v>
      </c>
      <c r="I171" s="198">
        <v>1</v>
      </c>
      <c r="J171" s="172">
        <v>0</v>
      </c>
      <c r="K171" s="199">
        <v>1</v>
      </c>
      <c r="L171" s="165"/>
      <c r="M171" s="200">
        <v>0</v>
      </c>
      <c r="N171" s="199">
        <v>1</v>
      </c>
      <c r="O171" s="165"/>
      <c r="P171" s="200">
        <v>0</v>
      </c>
      <c r="Q171" s="199">
        <v>0</v>
      </c>
      <c r="R171" s="4"/>
      <c r="S171" s="200">
        <v>0</v>
      </c>
      <c r="T171" s="199">
        <v>1</v>
      </c>
      <c r="U171" s="200">
        <v>0</v>
      </c>
      <c r="V171" s="178">
        <v>0</v>
      </c>
    </row>
    <row r="172" spans="1:32" x14ac:dyDescent="0.2">
      <c r="A172" s="186" t="s">
        <v>305</v>
      </c>
      <c r="B172" s="161" t="s">
        <v>69</v>
      </c>
      <c r="C172" s="162">
        <v>0</v>
      </c>
      <c r="D172" s="168">
        <v>0</v>
      </c>
      <c r="F172" s="16"/>
      <c r="G172" s="201"/>
      <c r="K172" s="202"/>
      <c r="M172" s="201"/>
      <c r="N172" s="202"/>
      <c r="P172" s="201"/>
      <c r="Q172" s="202"/>
      <c r="S172" s="201"/>
      <c r="T172" s="202"/>
      <c r="U172" s="201"/>
      <c r="V172" s="202"/>
    </row>
    <row r="173" spans="1:32" ht="15.75" thickBot="1" x14ac:dyDescent="0.25">
      <c r="A173" s="180"/>
      <c r="B173" s="189"/>
      <c r="C173" s="42"/>
      <c r="D173" s="203">
        <v>0</v>
      </c>
      <c r="F173" s="16"/>
      <c r="G173" s="204" t="s">
        <v>306</v>
      </c>
      <c r="H173" s="205">
        <v>96</v>
      </c>
      <c r="I173" s="4"/>
      <c r="J173" s="205">
        <v>96</v>
      </c>
      <c r="K173" s="206"/>
      <c r="L173" s="165"/>
      <c r="M173" s="207">
        <v>1</v>
      </c>
      <c r="N173" s="206"/>
      <c r="O173" s="165"/>
      <c r="P173" s="207">
        <v>0</v>
      </c>
      <c r="Q173" s="206"/>
      <c r="R173" s="4"/>
      <c r="S173" s="207">
        <v>97</v>
      </c>
      <c r="T173" s="206"/>
      <c r="U173" s="207">
        <v>0</v>
      </c>
      <c r="V173" s="206"/>
    </row>
    <row r="174" spans="1:32" ht="16.5" thickTop="1" thickBot="1" x14ac:dyDescent="0.25">
      <c r="A174" s="208"/>
      <c r="B174" s="2"/>
      <c r="C174" s="2"/>
      <c r="D174" s="131"/>
      <c r="G174" s="209"/>
      <c r="H174" s="2"/>
      <c r="I174" s="2"/>
      <c r="J174" s="2"/>
      <c r="K174" s="131"/>
      <c r="L174" s="165"/>
      <c r="M174" s="209"/>
      <c r="N174" s="131"/>
      <c r="O174" s="165"/>
      <c r="P174" s="209"/>
      <c r="Q174" s="131"/>
      <c r="S174" s="209"/>
      <c r="T174" s="131"/>
      <c r="U174" s="209"/>
      <c r="V174" s="131"/>
    </row>
    <row r="175" spans="1:32" s="132" customFormat="1" x14ac:dyDescent="0.2"/>
    <row r="176" spans="1:32" x14ac:dyDescent="0.2">
      <c r="A176" s="4"/>
      <c r="B176" s="4"/>
      <c r="C176" s="4"/>
      <c r="D176" s="4"/>
      <c r="E176" s="4"/>
      <c r="F176" s="4"/>
      <c r="G176" s="4"/>
      <c r="H176" s="4"/>
      <c r="I176" s="153" t="s">
        <v>307</v>
      </c>
      <c r="J176" s="153" t="s">
        <v>176</v>
      </c>
      <c r="K176" s="210">
        <v>0</v>
      </c>
      <c r="L176" s="211" t="s">
        <v>308</v>
      </c>
      <c r="M176" s="212">
        <v>1</v>
      </c>
      <c r="N176" s="153" t="s">
        <v>308</v>
      </c>
      <c r="O176" s="212">
        <v>2</v>
      </c>
      <c r="P176" s="153" t="s">
        <v>308</v>
      </c>
      <c r="Q176" s="88"/>
      <c r="R176" s="212">
        <v>0</v>
      </c>
      <c r="S176" s="212">
        <v>1</v>
      </c>
      <c r="T176" s="212">
        <v>2</v>
      </c>
      <c r="U176" s="4"/>
      <c r="V176" s="19" t="s">
        <v>309</v>
      </c>
      <c r="W176" s="19"/>
      <c r="X176" s="19"/>
      <c r="Y176" s="4"/>
      <c r="Z176" s="4"/>
      <c r="AA176" s="4"/>
      <c r="AB176" s="4"/>
      <c r="AC176" s="4"/>
      <c r="AD176" s="4"/>
      <c r="AE176" s="4"/>
      <c r="AF176" s="4"/>
    </row>
    <row r="177" spans="1:32" x14ac:dyDescent="0.2">
      <c r="A177" s="4"/>
      <c r="B177" s="4" t="s">
        <v>310</v>
      </c>
      <c r="C177" s="4"/>
      <c r="D177" s="213">
        <v>61983445</v>
      </c>
      <c r="F177" s="4"/>
      <c r="G177" s="41" t="s">
        <v>311</v>
      </c>
      <c r="H177" s="41"/>
      <c r="I177" s="214">
        <v>30</v>
      </c>
      <c r="J177" s="215">
        <v>53738238</v>
      </c>
      <c r="K177" s="57">
        <v>1</v>
      </c>
      <c r="L177" s="215">
        <v>53738238</v>
      </c>
      <c r="M177" s="57">
        <v>0</v>
      </c>
      <c r="N177" s="215">
        <v>0</v>
      </c>
      <c r="O177" s="57">
        <v>0</v>
      </c>
      <c r="P177" s="215">
        <v>0</v>
      </c>
      <c r="Q177" s="4"/>
      <c r="R177" s="216">
        <v>9</v>
      </c>
      <c r="S177" s="216">
        <v>0</v>
      </c>
      <c r="T177" s="216">
        <v>0</v>
      </c>
      <c r="U177" s="4"/>
      <c r="V177" s="4" t="s">
        <v>312</v>
      </c>
      <c r="X177" s="40" t="s">
        <v>118</v>
      </c>
      <c r="AA177" s="4"/>
      <c r="AB177" s="4"/>
      <c r="AC177" s="4"/>
      <c r="AD177" s="4"/>
      <c r="AE177" s="4"/>
      <c r="AF177" s="4"/>
    </row>
    <row r="178" spans="1:32" x14ac:dyDescent="0.2">
      <c r="A178" s="4"/>
      <c r="B178" s="4" t="s">
        <v>313</v>
      </c>
      <c r="C178" s="4"/>
      <c r="D178" s="217">
        <v>0</v>
      </c>
      <c r="F178" s="4"/>
      <c r="G178" s="554" t="s">
        <v>311</v>
      </c>
      <c r="H178" s="554">
        <v>0</v>
      </c>
      <c r="I178" s="218">
        <v>30</v>
      </c>
      <c r="J178" s="219">
        <v>0</v>
      </c>
      <c r="K178" s="60">
        <v>0</v>
      </c>
      <c r="L178" s="219">
        <v>0</v>
      </c>
      <c r="M178" s="60">
        <v>0</v>
      </c>
      <c r="N178" s="219">
        <v>0</v>
      </c>
      <c r="O178" s="60">
        <v>1</v>
      </c>
      <c r="P178" s="219">
        <v>0</v>
      </c>
      <c r="Q178" s="4"/>
      <c r="R178" s="216">
        <v>0</v>
      </c>
      <c r="S178" s="216">
        <v>0</v>
      </c>
      <c r="T178" s="216">
        <v>0</v>
      </c>
      <c r="U178" s="4"/>
      <c r="AA178" s="4"/>
      <c r="AB178" s="4"/>
      <c r="AC178" s="4"/>
      <c r="AD178" s="4"/>
      <c r="AE178" s="4"/>
      <c r="AF178" s="4"/>
    </row>
    <row r="179" spans="1:32" x14ac:dyDescent="0.2">
      <c r="A179" s="4"/>
      <c r="B179" s="4" t="s">
        <v>314</v>
      </c>
      <c r="C179" s="4"/>
      <c r="D179" s="26">
        <v>0</v>
      </c>
      <c r="F179" s="4"/>
      <c r="G179" s="554" t="s">
        <v>311</v>
      </c>
      <c r="H179" s="554">
        <v>0</v>
      </c>
      <c r="I179" s="218">
        <v>30</v>
      </c>
      <c r="J179" s="219">
        <v>0</v>
      </c>
      <c r="K179" s="60">
        <v>0</v>
      </c>
      <c r="L179" s="219">
        <v>0</v>
      </c>
      <c r="M179" s="60">
        <v>0</v>
      </c>
      <c r="N179" s="219">
        <v>0</v>
      </c>
      <c r="O179" s="60">
        <v>1</v>
      </c>
      <c r="P179" s="219">
        <v>0</v>
      </c>
      <c r="R179" s="216">
        <v>0</v>
      </c>
      <c r="S179" s="216">
        <v>0</v>
      </c>
      <c r="T179" s="216">
        <v>0</v>
      </c>
      <c r="U179" s="4"/>
      <c r="V179" s="4"/>
      <c r="W179" s="220" t="s">
        <v>315</v>
      </c>
      <c r="X179" s="220" t="s">
        <v>316</v>
      </c>
      <c r="AA179" s="4"/>
      <c r="AB179" s="4"/>
      <c r="AC179" s="4"/>
      <c r="AD179" s="4"/>
      <c r="AE179" s="4"/>
      <c r="AF179" s="4"/>
    </row>
    <row r="180" spans="1:32" x14ac:dyDescent="0.2">
      <c r="A180" s="4"/>
      <c r="B180" s="4"/>
      <c r="D180" s="26">
        <v>0</v>
      </c>
      <c r="F180" s="4"/>
      <c r="G180" s="554" t="s">
        <v>311</v>
      </c>
      <c r="H180" s="554">
        <v>0</v>
      </c>
      <c r="I180" s="218">
        <v>30</v>
      </c>
      <c r="J180" s="219">
        <v>0</v>
      </c>
      <c r="K180" s="60">
        <v>0</v>
      </c>
      <c r="L180" s="219">
        <v>0</v>
      </c>
      <c r="M180" s="60">
        <v>0</v>
      </c>
      <c r="N180" s="219">
        <v>0</v>
      </c>
      <c r="O180" s="60">
        <v>1</v>
      </c>
      <c r="P180" s="219">
        <v>0</v>
      </c>
      <c r="Q180" s="38"/>
      <c r="R180" s="216">
        <v>0</v>
      </c>
      <c r="S180" s="216">
        <v>0</v>
      </c>
      <c r="T180" s="216">
        <v>0</v>
      </c>
      <c r="U180" s="4"/>
      <c r="V180" s="4" t="s">
        <v>317</v>
      </c>
      <c r="W180" s="216">
        <v>2033</v>
      </c>
      <c r="X180" s="221">
        <v>180128</v>
      </c>
      <c r="Y180" s="4"/>
      <c r="Z180" s="4"/>
      <c r="AA180" s="4"/>
      <c r="AB180" s="4"/>
      <c r="AC180" s="4"/>
      <c r="AD180" s="4"/>
      <c r="AE180" s="216"/>
      <c r="AF180" s="4"/>
    </row>
    <row r="181" spans="1:32" x14ac:dyDescent="0.2">
      <c r="A181" s="4"/>
      <c r="B181" s="4" t="s">
        <v>318</v>
      </c>
      <c r="D181" s="26">
        <v>0</v>
      </c>
      <c r="F181" s="4"/>
      <c r="G181" s="554" t="s">
        <v>319</v>
      </c>
      <c r="H181" s="554">
        <v>0</v>
      </c>
      <c r="I181" s="218">
        <v>30</v>
      </c>
      <c r="J181" s="219">
        <v>0</v>
      </c>
      <c r="K181" s="60">
        <v>0</v>
      </c>
      <c r="L181" s="219">
        <v>0</v>
      </c>
      <c r="M181" s="60">
        <v>0</v>
      </c>
      <c r="N181" s="219">
        <v>0</v>
      </c>
      <c r="O181" s="60">
        <v>1</v>
      </c>
      <c r="P181" s="219">
        <v>0</v>
      </c>
      <c r="Q181" s="4"/>
      <c r="R181" s="216">
        <v>0</v>
      </c>
      <c r="S181" s="216">
        <v>0</v>
      </c>
      <c r="T181" s="216">
        <v>0</v>
      </c>
      <c r="U181" s="4"/>
      <c r="V181" s="4" t="s">
        <v>317</v>
      </c>
      <c r="W181" s="216">
        <v>2038</v>
      </c>
      <c r="X181" s="221">
        <v>238805</v>
      </c>
      <c r="Y181" s="4"/>
      <c r="Z181" s="4"/>
      <c r="AA181" s="4"/>
      <c r="AB181" s="4"/>
      <c r="AC181" s="4"/>
      <c r="AD181" s="4"/>
      <c r="AE181" s="4"/>
      <c r="AF181" s="4"/>
    </row>
    <row r="182" spans="1:32" x14ac:dyDescent="0.2">
      <c r="A182" s="4"/>
      <c r="B182" s="4"/>
      <c r="C182" s="4"/>
      <c r="D182" s="222">
        <v>61983445</v>
      </c>
      <c r="F182" s="223">
        <v>1.5</v>
      </c>
      <c r="G182" s="27" t="s">
        <v>320</v>
      </c>
      <c r="H182" s="27"/>
      <c r="I182" s="218">
        <v>15</v>
      </c>
      <c r="J182" s="219">
        <v>969619</v>
      </c>
      <c r="K182" s="60">
        <v>1</v>
      </c>
      <c r="L182" s="219">
        <v>969619</v>
      </c>
      <c r="M182" s="60">
        <v>0</v>
      </c>
      <c r="N182" s="219">
        <v>0</v>
      </c>
      <c r="O182" s="60">
        <v>0</v>
      </c>
      <c r="P182" s="219">
        <v>0</v>
      </c>
      <c r="Q182" s="38" t="s">
        <v>321</v>
      </c>
      <c r="R182" s="224">
        <v>0.5</v>
      </c>
      <c r="S182" s="224">
        <v>0.5</v>
      </c>
      <c r="T182" s="224">
        <v>0.5</v>
      </c>
      <c r="U182" s="4"/>
      <c r="V182" s="4" t="s">
        <v>317</v>
      </c>
      <c r="W182" s="216">
        <v>2043</v>
      </c>
      <c r="X182" s="221">
        <v>276843</v>
      </c>
      <c r="Y182" s="4"/>
      <c r="Z182" s="4"/>
      <c r="AA182" s="4"/>
      <c r="AB182" s="4"/>
      <c r="AC182" s="4"/>
      <c r="AD182" s="4"/>
      <c r="AE182" s="4"/>
      <c r="AF182" s="4"/>
    </row>
    <row r="183" spans="1:32" x14ac:dyDescent="0.2">
      <c r="A183" s="4"/>
      <c r="B183" s="555" t="s">
        <v>230</v>
      </c>
      <c r="C183" s="556">
        <v>0</v>
      </c>
      <c r="D183" s="225"/>
      <c r="F183" s="223">
        <v>1.5</v>
      </c>
      <c r="G183" s="27" t="s">
        <v>320</v>
      </c>
      <c r="H183" s="27"/>
      <c r="I183" s="218">
        <v>15</v>
      </c>
      <c r="J183" s="219">
        <v>0</v>
      </c>
      <c r="K183" s="60">
        <v>0</v>
      </c>
      <c r="L183" s="219">
        <v>0</v>
      </c>
      <c r="M183" s="60">
        <v>0</v>
      </c>
      <c r="N183" s="219">
        <v>0</v>
      </c>
      <c r="O183" s="60">
        <v>1</v>
      </c>
      <c r="P183" s="219">
        <v>0</v>
      </c>
      <c r="Q183" s="38" t="s">
        <v>321</v>
      </c>
      <c r="R183" s="224">
        <v>0.5</v>
      </c>
      <c r="S183" s="224">
        <v>0.5</v>
      </c>
      <c r="T183" s="224">
        <v>0.5</v>
      </c>
      <c r="U183" s="4"/>
      <c r="V183" s="16"/>
      <c r="W183" s="4"/>
      <c r="X183" s="4"/>
      <c r="Y183" s="4"/>
      <c r="Z183" s="4"/>
      <c r="AA183" s="4"/>
      <c r="AB183" s="4"/>
      <c r="AC183" s="4"/>
      <c r="AD183" s="4"/>
      <c r="AE183" s="4"/>
      <c r="AF183" s="4"/>
    </row>
    <row r="184" spans="1:32" x14ac:dyDescent="0.2">
      <c r="A184" s="4"/>
      <c r="B184" s="556">
        <v>0</v>
      </c>
      <c r="C184" s="556">
        <v>0</v>
      </c>
      <c r="D184" s="26">
        <v>0</v>
      </c>
      <c r="E184" s="40">
        <v>0</v>
      </c>
      <c r="F184" s="223">
        <v>2</v>
      </c>
      <c r="G184" s="27" t="s">
        <v>322</v>
      </c>
      <c r="H184" s="27"/>
      <c r="I184" s="218">
        <v>5</v>
      </c>
      <c r="J184" s="219">
        <v>77600</v>
      </c>
      <c r="K184" s="60">
        <v>1</v>
      </c>
      <c r="L184" s="219">
        <v>77600</v>
      </c>
      <c r="M184" s="60">
        <v>0</v>
      </c>
      <c r="N184" s="219">
        <v>0</v>
      </c>
      <c r="O184" s="60">
        <v>0</v>
      </c>
      <c r="P184" s="219">
        <v>0</v>
      </c>
      <c r="Q184" s="38" t="s">
        <v>321</v>
      </c>
      <c r="R184" s="224">
        <v>0.5</v>
      </c>
      <c r="S184" s="224">
        <v>0.5</v>
      </c>
      <c r="T184" s="224">
        <v>0.5</v>
      </c>
      <c r="U184" s="4"/>
      <c r="V184" s="4"/>
      <c r="W184" s="4"/>
      <c r="X184" s="4"/>
      <c r="Y184" s="4"/>
      <c r="Z184" s="4"/>
      <c r="AA184" s="4"/>
      <c r="AB184" s="4"/>
      <c r="AC184" s="4"/>
      <c r="AD184" s="4"/>
      <c r="AE184" s="4"/>
      <c r="AF184" s="4"/>
    </row>
    <row r="185" spans="1:32" ht="15.75" thickBot="1" x14ac:dyDescent="0.25">
      <c r="A185" s="4"/>
      <c r="B185" s="4" t="s">
        <v>323</v>
      </c>
      <c r="C185" s="4"/>
      <c r="D185" s="87">
        <v>61983445</v>
      </c>
      <c r="E185" s="4"/>
      <c r="F185" s="223">
        <v>2</v>
      </c>
      <c r="G185" s="27" t="s">
        <v>322</v>
      </c>
      <c r="H185" s="27"/>
      <c r="I185" s="218">
        <v>5</v>
      </c>
      <c r="J185" s="219">
        <v>0</v>
      </c>
      <c r="K185" s="60">
        <v>0</v>
      </c>
      <c r="L185" s="219">
        <v>0</v>
      </c>
      <c r="M185" s="60">
        <v>0</v>
      </c>
      <c r="N185" s="219">
        <v>0</v>
      </c>
      <c r="O185" s="60">
        <v>1</v>
      </c>
      <c r="P185" s="219">
        <v>0</v>
      </c>
      <c r="Q185" s="38" t="s">
        <v>321</v>
      </c>
      <c r="R185" s="224">
        <v>0.5</v>
      </c>
      <c r="S185" s="224">
        <v>0.5</v>
      </c>
      <c r="T185" s="224">
        <v>0.5</v>
      </c>
      <c r="U185" s="4"/>
      <c r="V185" s="4"/>
      <c r="W185" s="4"/>
      <c r="X185" s="4"/>
      <c r="Y185" s="4"/>
      <c r="Z185" s="4"/>
      <c r="AA185" s="4"/>
      <c r="AB185" s="4"/>
      <c r="AC185" s="4"/>
      <c r="AD185" s="4"/>
      <c r="AE185" s="4"/>
      <c r="AF185" s="4"/>
    </row>
    <row r="186" spans="1:32" ht="15.75" thickTop="1" x14ac:dyDescent="0.2">
      <c r="A186" s="4"/>
      <c r="B186" s="4"/>
      <c r="C186" s="4"/>
      <c r="D186" s="4"/>
      <c r="E186" s="4"/>
      <c r="F186" s="223">
        <v>2</v>
      </c>
      <c r="G186" s="27" t="s">
        <v>322</v>
      </c>
      <c r="H186" s="27"/>
      <c r="I186" s="218">
        <v>5</v>
      </c>
      <c r="J186" s="219">
        <v>7197988</v>
      </c>
      <c r="K186" s="60">
        <v>1</v>
      </c>
      <c r="L186" s="219">
        <v>7197988</v>
      </c>
      <c r="M186" s="60">
        <v>0</v>
      </c>
      <c r="N186" s="219">
        <v>0</v>
      </c>
      <c r="O186" s="60">
        <v>0</v>
      </c>
      <c r="P186" s="219">
        <v>0</v>
      </c>
      <c r="Q186" s="38" t="s">
        <v>321</v>
      </c>
      <c r="R186" s="224">
        <v>0.5</v>
      </c>
      <c r="S186" s="224">
        <v>0.5</v>
      </c>
      <c r="T186" s="224">
        <v>0.5</v>
      </c>
      <c r="U186" s="4"/>
      <c r="V186" s="4"/>
      <c r="W186" s="4"/>
      <c r="X186" s="4"/>
      <c r="Y186" s="4"/>
      <c r="Z186" s="4"/>
      <c r="AA186" s="4"/>
      <c r="AB186" s="4"/>
      <c r="AC186" s="4"/>
      <c r="AD186" s="4"/>
      <c r="AE186" s="4"/>
      <c r="AF186" s="4"/>
    </row>
    <row r="187" spans="1:32" x14ac:dyDescent="0.2">
      <c r="A187" s="4"/>
      <c r="B187" s="4"/>
      <c r="C187" s="4"/>
      <c r="D187" s="4"/>
      <c r="E187" s="4"/>
      <c r="F187" s="223">
        <v>2</v>
      </c>
      <c r="G187" s="27" t="s">
        <v>322</v>
      </c>
      <c r="H187" s="27"/>
      <c r="I187" s="218">
        <v>5</v>
      </c>
      <c r="J187" s="219">
        <v>0</v>
      </c>
      <c r="K187" s="60">
        <v>0</v>
      </c>
      <c r="L187" s="219">
        <v>0</v>
      </c>
      <c r="M187" s="60">
        <v>0</v>
      </c>
      <c r="N187" s="219">
        <v>0</v>
      </c>
      <c r="O187" s="60">
        <v>1</v>
      </c>
      <c r="P187" s="219">
        <v>0</v>
      </c>
      <c r="Q187" s="38" t="s">
        <v>321</v>
      </c>
      <c r="R187" s="224">
        <v>0.5</v>
      </c>
      <c r="S187" s="224">
        <v>0.5</v>
      </c>
      <c r="T187" s="224">
        <v>0.5</v>
      </c>
      <c r="U187" s="4"/>
      <c r="V187" s="4"/>
      <c r="W187" s="4"/>
      <c r="X187" s="4"/>
      <c r="Y187" s="4"/>
      <c r="Z187" s="4"/>
      <c r="AA187" s="4"/>
      <c r="AB187" s="4"/>
      <c r="AC187" s="4"/>
      <c r="AD187" s="4"/>
      <c r="AE187" s="4"/>
      <c r="AF187" s="4"/>
    </row>
    <row r="188" spans="1:32" ht="15.75" thickBot="1" x14ac:dyDescent="0.25">
      <c r="A188" s="4"/>
      <c r="B188" s="4"/>
      <c r="C188" s="4"/>
      <c r="D188" s="4"/>
      <c r="E188" s="4"/>
      <c r="F188" s="4"/>
      <c r="G188" s="4"/>
      <c r="H188" s="4"/>
      <c r="I188" s="4"/>
      <c r="J188" s="33">
        <v>61983445</v>
      </c>
      <c r="K188" s="4"/>
      <c r="L188" s="33">
        <v>61983445</v>
      </c>
      <c r="M188" s="4"/>
      <c r="N188" s="33">
        <v>0</v>
      </c>
      <c r="O188" s="4"/>
      <c r="P188" s="33">
        <v>0</v>
      </c>
      <c r="Q188" s="4"/>
      <c r="R188" s="4"/>
      <c r="S188" s="4"/>
      <c r="T188" s="4"/>
      <c r="U188" s="4"/>
      <c r="V188" s="4"/>
      <c r="W188" s="4"/>
      <c r="X188" s="4"/>
      <c r="Y188" s="4"/>
      <c r="Z188" s="4"/>
      <c r="AA188" s="4"/>
      <c r="AB188" s="4"/>
      <c r="AC188" s="4"/>
      <c r="AD188" s="4"/>
      <c r="AE188" s="4"/>
      <c r="AF188" s="4"/>
    </row>
    <row r="189" spans="1:32" s="132" customFormat="1" ht="15.75" thickTop="1" x14ac:dyDescent="0.2"/>
    <row r="190" spans="1:32" ht="18.75" thickBot="1" x14ac:dyDescent="0.3">
      <c r="A190" s="544" t="s">
        <v>324</v>
      </c>
      <c r="B190" s="553"/>
      <c r="C190" s="553"/>
      <c r="D190" s="553"/>
      <c r="E190" s="553"/>
      <c r="F190" s="553"/>
      <c r="G190" s="553"/>
      <c r="H190" s="2"/>
      <c r="I190" s="2"/>
      <c r="J190" s="2"/>
      <c r="K190" s="2"/>
      <c r="L190" s="2"/>
      <c r="M190" s="2"/>
      <c r="N190" s="2"/>
      <c r="O190" s="2"/>
      <c r="P190" s="2"/>
      <c r="Q190" s="2"/>
      <c r="R190" s="2"/>
      <c r="S190" s="2"/>
      <c r="T190" s="2"/>
      <c r="U190" s="2"/>
      <c r="V190" s="7" t="s">
        <v>69</v>
      </c>
    </row>
    <row r="191" spans="1:32" ht="15.75" x14ac:dyDescent="0.25">
      <c r="A191" s="545" t="s">
        <v>1135</v>
      </c>
      <c r="B191" s="547"/>
      <c r="C191" s="547"/>
      <c r="D191" s="547"/>
      <c r="E191" s="547"/>
      <c r="F191" s="547"/>
      <c r="G191" s="547"/>
      <c r="H191" s="11"/>
      <c r="I191" s="557"/>
      <c r="J191" s="557"/>
      <c r="K191" s="11"/>
      <c r="L191" s="12"/>
      <c r="M191" s="12"/>
      <c r="N191" s="13"/>
      <c r="O191" s="13"/>
      <c r="P191" s="13"/>
      <c r="Q191" s="13"/>
      <c r="R191" s="13" t="s">
        <v>71</v>
      </c>
      <c r="S191" s="14">
        <v>46210.286583449073</v>
      </c>
      <c r="T191" s="15">
        <v>46210.286583449073</v>
      </c>
      <c r="U191" s="13"/>
      <c r="V191" s="13" t="s">
        <v>325</v>
      </c>
    </row>
    <row r="192" spans="1:32" x14ac:dyDescent="0.2">
      <c r="A192" s="4"/>
      <c r="B192" s="4"/>
      <c r="C192" s="4"/>
      <c r="D192" s="4"/>
      <c r="E192" s="4"/>
      <c r="F192" s="4"/>
      <c r="G192" s="4"/>
      <c r="H192" s="4"/>
      <c r="I192" s="4"/>
      <c r="J192" s="4"/>
      <c r="K192" s="4"/>
      <c r="L192" s="4"/>
      <c r="M192" s="4"/>
      <c r="N192" s="4"/>
      <c r="O192" s="4"/>
      <c r="P192" s="4"/>
      <c r="Q192" s="4"/>
      <c r="R192" s="4"/>
      <c r="S192" s="4"/>
      <c r="T192" s="4"/>
      <c r="U192" s="4"/>
      <c r="V192" s="4"/>
    </row>
    <row r="193" spans="1:22" x14ac:dyDescent="0.2">
      <c r="A193" s="226"/>
      <c r="B193" s="226"/>
      <c r="C193" s="88"/>
      <c r="D193" s="227">
        <v>2026</v>
      </c>
      <c r="E193" s="227">
        <v>2027</v>
      </c>
      <c r="F193" s="227">
        <v>2028</v>
      </c>
      <c r="G193" s="227">
        <v>2029</v>
      </c>
      <c r="H193" s="227">
        <v>2030</v>
      </c>
      <c r="I193" s="227">
        <v>2031</v>
      </c>
      <c r="J193" s="227">
        <v>2032</v>
      </c>
      <c r="K193" s="227">
        <v>2033</v>
      </c>
      <c r="L193" s="227">
        <v>2034</v>
      </c>
      <c r="M193" s="227">
        <v>2035</v>
      </c>
      <c r="N193" s="227">
        <v>2036</v>
      </c>
      <c r="O193" s="227">
        <v>2037</v>
      </c>
      <c r="P193" s="227">
        <v>2038</v>
      </c>
      <c r="Q193" s="227">
        <v>2039</v>
      </c>
      <c r="R193" s="227">
        <v>2040</v>
      </c>
      <c r="S193" s="227">
        <v>2041</v>
      </c>
      <c r="T193" s="227">
        <v>2042</v>
      </c>
      <c r="U193" s="227">
        <v>2043</v>
      </c>
      <c r="V193" s="227">
        <v>2044</v>
      </c>
    </row>
    <row r="194" spans="1:22" x14ac:dyDescent="0.2">
      <c r="A194" s="226" t="s">
        <v>326</v>
      </c>
      <c r="C194" s="4"/>
      <c r="D194" s="4"/>
      <c r="E194" s="4"/>
      <c r="F194" s="4"/>
      <c r="G194" s="4"/>
      <c r="H194" s="4"/>
      <c r="I194" s="4"/>
      <c r="J194" s="4"/>
      <c r="K194" s="4"/>
      <c r="L194" s="4"/>
      <c r="M194" s="4"/>
      <c r="N194" s="4"/>
      <c r="O194" s="4"/>
      <c r="P194" s="4"/>
      <c r="Q194" s="4"/>
      <c r="R194" s="4"/>
      <c r="S194" s="4"/>
      <c r="T194" s="4"/>
      <c r="U194" s="4"/>
      <c r="V194" s="4"/>
    </row>
    <row r="195" spans="1:22" x14ac:dyDescent="0.2">
      <c r="B195" s="4" t="s">
        <v>327</v>
      </c>
      <c r="D195" s="213">
        <v>0</v>
      </c>
      <c r="E195" s="213">
        <v>0</v>
      </c>
      <c r="F195" s="213">
        <v>149106</v>
      </c>
      <c r="G195" s="213">
        <v>1439766</v>
      </c>
      <c r="H195" s="213">
        <v>1489248</v>
      </c>
      <c r="I195" s="213">
        <v>1519039</v>
      </c>
      <c r="J195" s="213">
        <v>1549419</v>
      </c>
      <c r="K195" s="213">
        <v>1580407</v>
      </c>
      <c r="L195" s="213">
        <v>1612015</v>
      </c>
      <c r="M195" s="213">
        <v>1644255</v>
      </c>
      <c r="N195" s="213">
        <v>1677140</v>
      </c>
      <c r="O195" s="213">
        <v>1710683</v>
      </c>
      <c r="P195" s="213">
        <v>1744897</v>
      </c>
      <c r="Q195" s="213">
        <v>1779795</v>
      </c>
      <c r="R195" s="213">
        <v>1815391</v>
      </c>
      <c r="S195" s="213">
        <v>1851699</v>
      </c>
      <c r="T195" s="213">
        <v>1888733</v>
      </c>
      <c r="U195" s="213">
        <v>1926508</v>
      </c>
      <c r="V195" s="213">
        <v>1965038</v>
      </c>
    </row>
    <row r="196" spans="1:22" x14ac:dyDescent="0.2">
      <c r="B196" s="4" t="s">
        <v>328</v>
      </c>
      <c r="D196" s="228">
        <v>0</v>
      </c>
      <c r="E196" s="228">
        <v>0</v>
      </c>
      <c r="F196" s="228">
        <v>0</v>
      </c>
      <c r="G196" s="228">
        <v>0</v>
      </c>
      <c r="H196" s="228">
        <v>0</v>
      </c>
      <c r="I196" s="228">
        <v>0</v>
      </c>
      <c r="J196" s="228">
        <v>0</v>
      </c>
      <c r="K196" s="228">
        <v>0</v>
      </c>
      <c r="L196" s="228">
        <v>0</v>
      </c>
      <c r="M196" s="228">
        <v>0</v>
      </c>
      <c r="N196" s="228">
        <v>0</v>
      </c>
      <c r="O196" s="228">
        <v>0</v>
      </c>
      <c r="P196" s="228">
        <v>0</v>
      </c>
      <c r="Q196" s="228">
        <v>0</v>
      </c>
      <c r="R196" s="228">
        <v>0</v>
      </c>
      <c r="S196" s="228">
        <v>0</v>
      </c>
      <c r="T196" s="228">
        <v>0</v>
      </c>
      <c r="U196" s="228">
        <v>0</v>
      </c>
      <c r="V196" s="228">
        <v>0</v>
      </c>
    </row>
    <row r="197" spans="1:22" x14ac:dyDescent="0.2">
      <c r="B197" s="4" t="s">
        <v>329</v>
      </c>
      <c r="D197" s="217">
        <v>0</v>
      </c>
      <c r="E197" s="217">
        <v>0</v>
      </c>
      <c r="F197" s="217">
        <v>0</v>
      </c>
      <c r="G197" s="217">
        <v>0</v>
      </c>
      <c r="H197" s="217">
        <v>0</v>
      </c>
      <c r="I197" s="217">
        <v>0</v>
      </c>
      <c r="J197" s="217">
        <v>0</v>
      </c>
      <c r="K197" s="217">
        <v>0</v>
      </c>
      <c r="L197" s="217">
        <v>0</v>
      </c>
      <c r="M197" s="217">
        <v>0</v>
      </c>
      <c r="N197" s="217">
        <v>0</v>
      </c>
      <c r="O197" s="217">
        <v>0</v>
      </c>
      <c r="P197" s="217">
        <v>0</v>
      </c>
      <c r="Q197" s="217">
        <v>0</v>
      </c>
      <c r="R197" s="217">
        <v>0</v>
      </c>
      <c r="S197" s="217">
        <v>0</v>
      </c>
      <c r="T197" s="217">
        <v>0</v>
      </c>
      <c r="U197" s="217">
        <v>0</v>
      </c>
      <c r="V197" s="217">
        <v>0</v>
      </c>
    </row>
    <row r="198" spans="1:22" x14ac:dyDescent="0.2">
      <c r="B198" s="4" t="s">
        <v>330</v>
      </c>
      <c r="D198" s="26">
        <v>0</v>
      </c>
      <c r="E198" s="26">
        <v>0</v>
      </c>
      <c r="F198" s="26">
        <v>-7455</v>
      </c>
      <c r="G198" s="26">
        <v>-71989</v>
      </c>
      <c r="H198" s="26">
        <v>-74463</v>
      </c>
      <c r="I198" s="26">
        <v>-75953</v>
      </c>
      <c r="J198" s="26">
        <v>-77472</v>
      </c>
      <c r="K198" s="26">
        <v>-79021</v>
      </c>
      <c r="L198" s="26">
        <v>-80602</v>
      </c>
      <c r="M198" s="26">
        <v>-82214</v>
      </c>
      <c r="N198" s="26">
        <v>-83858</v>
      </c>
      <c r="O198" s="26">
        <v>-85535</v>
      </c>
      <c r="P198" s="26">
        <v>-87246</v>
      </c>
      <c r="Q198" s="26">
        <v>-88991</v>
      </c>
      <c r="R198" s="26">
        <v>-90771</v>
      </c>
      <c r="S198" s="26">
        <v>-92586</v>
      </c>
      <c r="T198" s="26">
        <v>-94438</v>
      </c>
      <c r="U198" s="26">
        <v>-96327</v>
      </c>
      <c r="V198" s="26">
        <v>-98253</v>
      </c>
    </row>
    <row r="199" spans="1:22" x14ac:dyDescent="0.2">
      <c r="B199" s="4" t="s">
        <v>331</v>
      </c>
      <c r="D199" s="222">
        <v>0</v>
      </c>
      <c r="E199" s="222">
        <v>0</v>
      </c>
      <c r="F199" s="222">
        <v>141651</v>
      </c>
      <c r="G199" s="222">
        <v>1367777</v>
      </c>
      <c r="H199" s="222">
        <v>1414785</v>
      </c>
      <c r="I199" s="222">
        <v>1443086</v>
      </c>
      <c r="J199" s="222">
        <v>1471947</v>
      </c>
      <c r="K199" s="222">
        <v>1501386</v>
      </c>
      <c r="L199" s="222">
        <v>1531413</v>
      </c>
      <c r="M199" s="222">
        <v>1562041</v>
      </c>
      <c r="N199" s="222">
        <v>1593282</v>
      </c>
      <c r="O199" s="222">
        <v>1625148</v>
      </c>
      <c r="P199" s="222">
        <v>1657651</v>
      </c>
      <c r="Q199" s="222">
        <v>1690804</v>
      </c>
      <c r="R199" s="222">
        <v>1724620</v>
      </c>
      <c r="S199" s="222">
        <v>1759113</v>
      </c>
      <c r="T199" s="222">
        <v>1794295</v>
      </c>
      <c r="U199" s="222">
        <v>1830181</v>
      </c>
      <c r="V199" s="222">
        <v>1866785</v>
      </c>
    </row>
    <row r="200" spans="1:22" x14ac:dyDescent="0.2">
      <c r="B200" s="4" t="s">
        <v>332</v>
      </c>
      <c r="D200" s="26">
        <v>0</v>
      </c>
      <c r="E200" s="26">
        <v>0</v>
      </c>
      <c r="F200" s="26">
        <v>175878</v>
      </c>
      <c r="G200" s="26">
        <v>1698284</v>
      </c>
      <c r="H200" s="26">
        <v>1756644</v>
      </c>
      <c r="I200" s="26">
        <v>1791774</v>
      </c>
      <c r="J200" s="26">
        <v>1827610</v>
      </c>
      <c r="K200" s="26">
        <v>1864162</v>
      </c>
      <c r="L200" s="26">
        <v>1901446</v>
      </c>
      <c r="M200" s="26">
        <v>1939474</v>
      </c>
      <c r="N200" s="26">
        <v>1978264</v>
      </c>
      <c r="O200" s="26">
        <v>2017829</v>
      </c>
      <c r="P200" s="26">
        <v>2058186</v>
      </c>
      <c r="Q200" s="26">
        <v>2099350</v>
      </c>
      <c r="R200" s="26">
        <v>2141337</v>
      </c>
      <c r="S200" s="26">
        <v>2184164</v>
      </c>
      <c r="T200" s="26">
        <v>2227847</v>
      </c>
      <c r="U200" s="26">
        <v>2272404</v>
      </c>
      <c r="V200" s="26">
        <v>2317852</v>
      </c>
    </row>
    <row r="201" spans="1:22" x14ac:dyDescent="0.2">
      <c r="B201" s="4" t="s">
        <v>333</v>
      </c>
      <c r="D201" s="217">
        <v>0</v>
      </c>
      <c r="E201" s="217">
        <v>0</v>
      </c>
      <c r="F201" s="217">
        <v>1116</v>
      </c>
      <c r="G201" s="217">
        <v>10539</v>
      </c>
      <c r="H201" s="217">
        <v>10895</v>
      </c>
      <c r="I201" s="217">
        <v>11116</v>
      </c>
      <c r="J201" s="217">
        <v>11339</v>
      </c>
      <c r="K201" s="217">
        <v>11566</v>
      </c>
      <c r="L201" s="217">
        <v>11797</v>
      </c>
      <c r="M201" s="217">
        <v>12033</v>
      </c>
      <c r="N201" s="217">
        <v>12274</v>
      </c>
      <c r="O201" s="217">
        <v>12519</v>
      </c>
      <c r="P201" s="217">
        <v>12769</v>
      </c>
      <c r="Q201" s="217">
        <v>13024</v>
      </c>
      <c r="R201" s="217">
        <v>13284</v>
      </c>
      <c r="S201" s="217">
        <v>13550</v>
      </c>
      <c r="T201" s="217">
        <v>13821</v>
      </c>
      <c r="U201" s="217">
        <v>14097</v>
      </c>
      <c r="V201" s="217">
        <v>14379</v>
      </c>
    </row>
    <row r="202" spans="1:22" x14ac:dyDescent="0.2">
      <c r="B202" s="4" t="s">
        <v>334</v>
      </c>
      <c r="D202" s="217">
        <v>0</v>
      </c>
      <c r="E202" s="217">
        <v>0</v>
      </c>
      <c r="F202" s="217">
        <v>0</v>
      </c>
      <c r="G202" s="217">
        <v>0</v>
      </c>
      <c r="H202" s="217">
        <v>0</v>
      </c>
      <c r="I202" s="217">
        <v>0</v>
      </c>
      <c r="J202" s="217">
        <v>0</v>
      </c>
      <c r="K202" s="217">
        <v>0</v>
      </c>
      <c r="L202" s="217">
        <v>0</v>
      </c>
      <c r="M202" s="217">
        <v>0</v>
      </c>
      <c r="N202" s="217">
        <v>0</v>
      </c>
      <c r="O202" s="217">
        <v>0</v>
      </c>
      <c r="P202" s="217">
        <v>0</v>
      </c>
      <c r="Q202" s="217">
        <v>0</v>
      </c>
      <c r="R202" s="217">
        <v>0</v>
      </c>
      <c r="S202" s="217">
        <v>0</v>
      </c>
      <c r="T202" s="217">
        <v>0</v>
      </c>
      <c r="U202" s="217">
        <v>0</v>
      </c>
      <c r="V202" s="217">
        <v>0</v>
      </c>
    </row>
    <row r="203" spans="1:22" x14ac:dyDescent="0.2">
      <c r="B203" s="4" t="s">
        <v>737</v>
      </c>
      <c r="C203" s="4"/>
      <c r="D203" s="217">
        <v>0</v>
      </c>
      <c r="E203" s="217">
        <v>0</v>
      </c>
      <c r="F203" s="217">
        <v>0</v>
      </c>
      <c r="G203" s="217">
        <v>0</v>
      </c>
      <c r="H203" s="217">
        <v>0</v>
      </c>
      <c r="I203" s="217">
        <v>0</v>
      </c>
      <c r="J203" s="217">
        <v>0</v>
      </c>
      <c r="K203" s="217">
        <v>0</v>
      </c>
      <c r="L203" s="217">
        <v>0</v>
      </c>
      <c r="M203" s="217">
        <v>0</v>
      </c>
      <c r="N203" s="217">
        <v>0</v>
      </c>
      <c r="O203" s="217">
        <v>0</v>
      </c>
      <c r="P203" s="217">
        <v>0</v>
      </c>
      <c r="Q203" s="217">
        <v>0</v>
      </c>
      <c r="R203" s="217">
        <v>0</v>
      </c>
      <c r="S203" s="217">
        <v>0</v>
      </c>
      <c r="T203" s="217">
        <v>0</v>
      </c>
      <c r="U203" s="217">
        <v>0</v>
      </c>
      <c r="V203" s="217">
        <v>0</v>
      </c>
    </row>
    <row r="204" spans="1:22" x14ac:dyDescent="0.2">
      <c r="B204" s="4" t="s">
        <v>69</v>
      </c>
      <c r="C204" s="38">
        <v>0</v>
      </c>
      <c r="D204" s="217">
        <v>0</v>
      </c>
      <c r="E204" s="217">
        <v>0</v>
      </c>
      <c r="F204" s="217">
        <v>0</v>
      </c>
      <c r="G204" s="217">
        <v>0</v>
      </c>
      <c r="H204" s="217">
        <v>0</v>
      </c>
      <c r="I204" s="217">
        <v>0</v>
      </c>
      <c r="J204" s="217">
        <v>0</v>
      </c>
      <c r="K204" s="217">
        <v>0</v>
      </c>
      <c r="L204" s="217">
        <v>0</v>
      </c>
      <c r="M204" s="217">
        <v>0</v>
      </c>
      <c r="N204" s="217">
        <v>0</v>
      </c>
      <c r="O204" s="217">
        <v>0</v>
      </c>
      <c r="P204" s="217">
        <v>0</v>
      </c>
      <c r="Q204" s="217">
        <v>0</v>
      </c>
      <c r="R204" s="217">
        <v>0</v>
      </c>
      <c r="S204" s="217">
        <v>0</v>
      </c>
      <c r="T204" s="217">
        <v>0</v>
      </c>
      <c r="U204" s="217">
        <v>0</v>
      </c>
      <c r="V204" s="217">
        <v>0</v>
      </c>
    </row>
    <row r="205" spans="1:22" x14ac:dyDescent="0.2">
      <c r="B205" s="4" t="s">
        <v>69</v>
      </c>
      <c r="C205" s="38">
        <v>0</v>
      </c>
      <c r="D205" s="217">
        <v>0</v>
      </c>
      <c r="E205" s="217">
        <v>0</v>
      </c>
      <c r="F205" s="217">
        <v>0</v>
      </c>
      <c r="G205" s="217">
        <v>0</v>
      </c>
      <c r="H205" s="217">
        <v>0</v>
      </c>
      <c r="I205" s="217">
        <v>0</v>
      </c>
      <c r="J205" s="217">
        <v>0</v>
      </c>
      <c r="K205" s="217">
        <v>0</v>
      </c>
      <c r="L205" s="217">
        <v>0</v>
      </c>
      <c r="M205" s="217">
        <v>0</v>
      </c>
      <c r="N205" s="217">
        <v>0</v>
      </c>
      <c r="O205" s="217">
        <v>0</v>
      </c>
      <c r="P205" s="217">
        <v>0</v>
      </c>
      <c r="Q205" s="217">
        <v>0</v>
      </c>
      <c r="R205" s="217">
        <v>0</v>
      </c>
      <c r="S205" s="217">
        <v>0</v>
      </c>
      <c r="T205" s="217">
        <v>0</v>
      </c>
      <c r="U205" s="217">
        <v>0</v>
      </c>
      <c r="V205" s="217">
        <v>0</v>
      </c>
    </row>
    <row r="206" spans="1:22" x14ac:dyDescent="0.2">
      <c r="B206" s="4" t="s">
        <v>69</v>
      </c>
      <c r="C206" s="38">
        <v>0</v>
      </c>
      <c r="D206" s="217">
        <v>0</v>
      </c>
      <c r="E206" s="217">
        <v>0</v>
      </c>
      <c r="F206" s="217">
        <v>0</v>
      </c>
      <c r="G206" s="217">
        <v>0</v>
      </c>
      <c r="H206" s="217">
        <v>0</v>
      </c>
      <c r="I206" s="217">
        <v>0</v>
      </c>
      <c r="J206" s="217">
        <v>0</v>
      </c>
      <c r="K206" s="217">
        <v>0</v>
      </c>
      <c r="L206" s="217">
        <v>0</v>
      </c>
      <c r="M206" s="217">
        <v>0</v>
      </c>
      <c r="N206" s="217">
        <v>0</v>
      </c>
      <c r="O206" s="217">
        <v>0</v>
      </c>
      <c r="P206" s="217">
        <v>0</v>
      </c>
      <c r="Q206" s="217">
        <v>0</v>
      </c>
      <c r="R206" s="217">
        <v>0</v>
      </c>
      <c r="S206" s="217">
        <v>0</v>
      </c>
      <c r="T206" s="217">
        <v>0</v>
      </c>
      <c r="U206" s="217">
        <v>0</v>
      </c>
      <c r="V206" s="217">
        <v>0</v>
      </c>
    </row>
    <row r="207" spans="1:22" x14ac:dyDescent="0.2">
      <c r="B207" s="4" t="s">
        <v>69</v>
      </c>
      <c r="C207" s="38">
        <v>0</v>
      </c>
      <c r="D207" s="217">
        <v>0</v>
      </c>
      <c r="E207" s="217">
        <v>0</v>
      </c>
      <c r="F207" s="217">
        <v>0</v>
      </c>
      <c r="G207" s="217">
        <v>0</v>
      </c>
      <c r="H207" s="217">
        <v>0</v>
      </c>
      <c r="I207" s="217">
        <v>0</v>
      </c>
      <c r="J207" s="217">
        <v>0</v>
      </c>
      <c r="K207" s="217">
        <v>0</v>
      </c>
      <c r="L207" s="217">
        <v>0</v>
      </c>
      <c r="M207" s="217">
        <v>0</v>
      </c>
      <c r="N207" s="217">
        <v>0</v>
      </c>
      <c r="O207" s="217">
        <v>0</v>
      </c>
      <c r="P207" s="217">
        <v>0</v>
      </c>
      <c r="Q207" s="217">
        <v>0</v>
      </c>
      <c r="R207" s="217">
        <v>0</v>
      </c>
      <c r="S207" s="217">
        <v>0</v>
      </c>
      <c r="T207" s="217">
        <v>0</v>
      </c>
      <c r="U207" s="217">
        <v>0</v>
      </c>
      <c r="V207" s="217">
        <v>0</v>
      </c>
    </row>
    <row r="208" spans="1:22" x14ac:dyDescent="0.2">
      <c r="B208" s="4" t="s">
        <v>335</v>
      </c>
      <c r="D208" s="222">
        <v>0</v>
      </c>
      <c r="E208" s="222">
        <v>0</v>
      </c>
      <c r="F208" s="222">
        <v>318645</v>
      </c>
      <c r="G208" s="222">
        <v>3076600</v>
      </c>
      <c r="H208" s="222">
        <v>3182324</v>
      </c>
      <c r="I208" s="222">
        <v>3245976</v>
      </c>
      <c r="J208" s="222">
        <v>3310896</v>
      </c>
      <c r="K208" s="222">
        <v>3377114</v>
      </c>
      <c r="L208" s="222">
        <v>3444656</v>
      </c>
      <c r="M208" s="222">
        <v>3513548</v>
      </c>
      <c r="N208" s="222">
        <v>3583820</v>
      </c>
      <c r="O208" s="222">
        <v>3655496</v>
      </c>
      <c r="P208" s="222">
        <v>3728606</v>
      </c>
      <c r="Q208" s="222">
        <v>3803178</v>
      </c>
      <c r="R208" s="222">
        <v>3879241</v>
      </c>
      <c r="S208" s="222">
        <v>3956827</v>
      </c>
      <c r="T208" s="222">
        <v>4035963</v>
      </c>
      <c r="U208" s="222">
        <v>4116682</v>
      </c>
      <c r="V208" s="222">
        <v>4199016</v>
      </c>
    </row>
    <row r="209" spans="1:22" x14ac:dyDescent="0.2">
      <c r="A209" s="4"/>
      <c r="B209" s="4"/>
      <c r="C209" s="4"/>
      <c r="D209" s="135"/>
      <c r="E209" s="135"/>
      <c r="F209" s="135"/>
      <c r="G209" s="135"/>
      <c r="H209" s="135"/>
      <c r="I209" s="135"/>
      <c r="J209" s="135"/>
      <c r="K209" s="135"/>
      <c r="L209" s="135"/>
      <c r="M209" s="135"/>
      <c r="N209" s="135"/>
      <c r="O209" s="135"/>
      <c r="P209" s="135"/>
      <c r="Q209" s="135"/>
      <c r="R209" s="135"/>
      <c r="S209" s="135"/>
      <c r="T209" s="135"/>
      <c r="U209" s="135"/>
      <c r="V209" s="135"/>
    </row>
    <row r="210" spans="1:22" x14ac:dyDescent="0.2">
      <c r="A210" s="226" t="s">
        <v>336</v>
      </c>
      <c r="B210" s="226"/>
      <c r="C210" s="4"/>
      <c r="D210" s="135"/>
      <c r="E210" s="135"/>
      <c r="F210" s="135"/>
      <c r="G210" s="135"/>
      <c r="H210" s="135"/>
      <c r="I210" s="135"/>
      <c r="J210" s="135"/>
      <c r="K210" s="135"/>
      <c r="L210" s="135"/>
      <c r="M210" s="135"/>
      <c r="N210" s="135"/>
      <c r="O210" s="135"/>
      <c r="P210" s="135"/>
      <c r="Q210" s="135"/>
      <c r="R210" s="135"/>
      <c r="S210" s="135"/>
      <c r="T210" s="135"/>
      <c r="U210" s="135"/>
      <c r="V210" s="135"/>
    </row>
    <row r="211" spans="1:22" x14ac:dyDescent="0.2">
      <c r="B211" s="4" t="s">
        <v>337</v>
      </c>
      <c r="C211" s="4"/>
      <c r="D211" s="217">
        <v>0</v>
      </c>
      <c r="E211" s="217">
        <v>0</v>
      </c>
      <c r="F211" s="217">
        <v>21247</v>
      </c>
      <c r="G211" s="217">
        <v>65652</v>
      </c>
      <c r="H211" s="217">
        <v>67622</v>
      </c>
      <c r="I211" s="217">
        <v>69650</v>
      </c>
      <c r="J211" s="217">
        <v>71740</v>
      </c>
      <c r="K211" s="217">
        <v>73892</v>
      </c>
      <c r="L211" s="217">
        <v>76109</v>
      </c>
      <c r="M211" s="217">
        <v>78392</v>
      </c>
      <c r="N211" s="217">
        <v>80744</v>
      </c>
      <c r="O211" s="217">
        <v>83166</v>
      </c>
      <c r="P211" s="217">
        <v>85661</v>
      </c>
      <c r="Q211" s="217">
        <v>88231</v>
      </c>
      <c r="R211" s="217">
        <v>90878</v>
      </c>
      <c r="S211" s="217">
        <v>93604</v>
      </c>
      <c r="T211" s="217">
        <v>96412</v>
      </c>
      <c r="U211" s="217">
        <v>99304</v>
      </c>
      <c r="V211" s="217">
        <v>102283</v>
      </c>
    </row>
    <row r="212" spans="1:22" x14ac:dyDescent="0.2">
      <c r="B212" s="4" t="s">
        <v>338</v>
      </c>
      <c r="C212" s="4"/>
      <c r="D212" s="217">
        <v>0</v>
      </c>
      <c r="E212" s="217">
        <v>0</v>
      </c>
      <c r="F212" s="217">
        <v>17494</v>
      </c>
      <c r="G212" s="217">
        <v>166827</v>
      </c>
      <c r="H212" s="217">
        <v>174228</v>
      </c>
      <c r="I212" s="217">
        <v>179454</v>
      </c>
      <c r="J212" s="217">
        <v>184837</v>
      </c>
      <c r="K212" s="217">
        <v>190382</v>
      </c>
      <c r="L212" s="217">
        <v>196093</v>
      </c>
      <c r="M212" s="217">
        <v>201976</v>
      </c>
      <c r="N212" s="217">
        <v>208035</v>
      </c>
      <c r="O212" s="217">
        <v>214276</v>
      </c>
      <c r="P212" s="217">
        <v>220704</v>
      </c>
      <c r="Q212" s="217">
        <v>227325</v>
      </c>
      <c r="R212" s="217">
        <v>234145</v>
      </c>
      <c r="S212" s="217">
        <v>241169</v>
      </c>
      <c r="T212" s="217">
        <v>248404</v>
      </c>
      <c r="U212" s="217">
        <v>255856</v>
      </c>
      <c r="V212" s="217">
        <v>263532</v>
      </c>
    </row>
    <row r="213" spans="1:22" x14ac:dyDescent="0.2">
      <c r="B213" s="4" t="s">
        <v>339</v>
      </c>
      <c r="C213" s="4"/>
      <c r="D213" s="217">
        <v>0</v>
      </c>
      <c r="E213" s="217">
        <v>0</v>
      </c>
      <c r="F213" s="217">
        <v>79636</v>
      </c>
      <c r="G213" s="217">
        <v>246074</v>
      </c>
      <c r="H213" s="217">
        <v>253456</v>
      </c>
      <c r="I213" s="217">
        <v>261060</v>
      </c>
      <c r="J213" s="217">
        <v>268892</v>
      </c>
      <c r="K213" s="217">
        <v>276959</v>
      </c>
      <c r="L213" s="217">
        <v>285268</v>
      </c>
      <c r="M213" s="217">
        <v>293826</v>
      </c>
      <c r="N213" s="217">
        <v>302641</v>
      </c>
      <c r="O213" s="217">
        <v>311720</v>
      </c>
      <c r="P213" s="217">
        <v>321072</v>
      </c>
      <c r="Q213" s="217">
        <v>330704</v>
      </c>
      <c r="R213" s="217">
        <v>340625</v>
      </c>
      <c r="S213" s="217">
        <v>350844</v>
      </c>
      <c r="T213" s="217">
        <v>361369</v>
      </c>
      <c r="U213" s="217">
        <v>372210</v>
      </c>
      <c r="V213" s="217">
        <v>383376</v>
      </c>
    </row>
    <row r="214" spans="1:22" x14ac:dyDescent="0.2">
      <c r="B214" s="4" t="s">
        <v>230</v>
      </c>
      <c r="C214" s="4"/>
      <c r="D214" s="217">
        <v>0</v>
      </c>
      <c r="E214" s="217">
        <v>0</v>
      </c>
      <c r="F214" s="217">
        <v>35007</v>
      </c>
      <c r="G214" s="217">
        <v>108172</v>
      </c>
      <c r="H214" s="217">
        <v>111417</v>
      </c>
      <c r="I214" s="217">
        <v>114759</v>
      </c>
      <c r="J214" s="217">
        <v>118202</v>
      </c>
      <c r="K214" s="217">
        <v>121748</v>
      </c>
      <c r="L214" s="217">
        <v>125400</v>
      </c>
      <c r="M214" s="217">
        <v>129162</v>
      </c>
      <c r="N214" s="217">
        <v>133037</v>
      </c>
      <c r="O214" s="217">
        <v>137028</v>
      </c>
      <c r="P214" s="217">
        <v>141139</v>
      </c>
      <c r="Q214" s="217">
        <v>145373</v>
      </c>
      <c r="R214" s="217">
        <v>149734</v>
      </c>
      <c r="S214" s="217">
        <v>154226</v>
      </c>
      <c r="T214" s="217">
        <v>158853</v>
      </c>
      <c r="U214" s="217">
        <v>163619</v>
      </c>
      <c r="V214" s="217">
        <v>168528</v>
      </c>
    </row>
    <row r="215" spans="1:22" x14ac:dyDescent="0.2">
      <c r="B215" s="4" t="s">
        <v>340</v>
      </c>
      <c r="C215" s="4"/>
      <c r="D215" s="222">
        <v>0</v>
      </c>
      <c r="E215" s="222">
        <v>0</v>
      </c>
      <c r="F215" s="222">
        <v>153384</v>
      </c>
      <c r="G215" s="222">
        <v>586725</v>
      </c>
      <c r="H215" s="222">
        <v>606723</v>
      </c>
      <c r="I215" s="222">
        <v>624923</v>
      </c>
      <c r="J215" s="222">
        <v>643671</v>
      </c>
      <c r="K215" s="222">
        <v>662981</v>
      </c>
      <c r="L215" s="222">
        <v>682870</v>
      </c>
      <c r="M215" s="222">
        <v>703356</v>
      </c>
      <c r="N215" s="222">
        <v>724457</v>
      </c>
      <c r="O215" s="222">
        <v>746190</v>
      </c>
      <c r="P215" s="222">
        <v>768576</v>
      </c>
      <c r="Q215" s="222">
        <v>791633</v>
      </c>
      <c r="R215" s="222">
        <v>815382</v>
      </c>
      <c r="S215" s="222">
        <v>839843</v>
      </c>
      <c r="T215" s="222">
        <v>865038</v>
      </c>
      <c r="U215" s="222">
        <v>890989</v>
      </c>
      <c r="V215" s="222">
        <v>917719</v>
      </c>
    </row>
    <row r="216" spans="1:22" x14ac:dyDescent="0.2">
      <c r="A216" s="226" t="s">
        <v>341</v>
      </c>
    </row>
    <row r="217" spans="1:22" x14ac:dyDescent="0.2">
      <c r="B217" s="4" t="s">
        <v>342</v>
      </c>
      <c r="C217" s="4"/>
      <c r="D217" s="217">
        <v>0</v>
      </c>
      <c r="E217" s="217">
        <v>0</v>
      </c>
      <c r="F217" s="217">
        <v>50117</v>
      </c>
      <c r="G217" s="217">
        <v>154860</v>
      </c>
      <c r="H217" s="217">
        <v>159506</v>
      </c>
      <c r="I217" s="217">
        <v>164292</v>
      </c>
      <c r="J217" s="217">
        <v>169220</v>
      </c>
      <c r="K217" s="217">
        <v>174297</v>
      </c>
      <c r="L217" s="217">
        <v>179526</v>
      </c>
      <c r="M217" s="217">
        <v>184912</v>
      </c>
      <c r="N217" s="217">
        <v>190459</v>
      </c>
      <c r="O217" s="217">
        <v>196173</v>
      </c>
      <c r="P217" s="217">
        <v>202058</v>
      </c>
      <c r="Q217" s="217">
        <v>208120</v>
      </c>
      <c r="R217" s="217">
        <v>214364</v>
      </c>
      <c r="S217" s="217">
        <v>220795</v>
      </c>
      <c r="T217" s="217">
        <v>227419</v>
      </c>
      <c r="U217" s="217">
        <v>234242</v>
      </c>
      <c r="V217" s="217">
        <v>241269</v>
      </c>
    </row>
    <row r="218" spans="1:22" x14ac:dyDescent="0.2">
      <c r="B218" s="4" t="s">
        <v>343</v>
      </c>
      <c r="C218" s="4"/>
      <c r="D218" s="217">
        <v>0</v>
      </c>
      <c r="E218" s="217">
        <v>0</v>
      </c>
      <c r="F218" s="217">
        <v>23229</v>
      </c>
      <c r="G218" s="217">
        <v>221507</v>
      </c>
      <c r="H218" s="217">
        <v>231333</v>
      </c>
      <c r="I218" s="217">
        <v>238271</v>
      </c>
      <c r="J218" s="217">
        <v>245419</v>
      </c>
      <c r="K218" s="217">
        <v>252782</v>
      </c>
      <c r="L218" s="217">
        <v>260365</v>
      </c>
      <c r="M218" s="217">
        <v>268176</v>
      </c>
      <c r="N218" s="217">
        <v>276221</v>
      </c>
      <c r="O218" s="217">
        <v>284508</v>
      </c>
      <c r="P218" s="217">
        <v>293043</v>
      </c>
      <c r="Q218" s="217">
        <v>301834</v>
      </c>
      <c r="R218" s="217">
        <v>310889</v>
      </c>
      <c r="S218" s="217">
        <v>320216</v>
      </c>
      <c r="T218" s="217">
        <v>329822</v>
      </c>
      <c r="U218" s="217">
        <v>339717</v>
      </c>
      <c r="V218" s="217">
        <v>349909</v>
      </c>
    </row>
    <row r="219" spans="1:22" x14ac:dyDescent="0.2">
      <c r="B219" s="4" t="s">
        <v>344</v>
      </c>
      <c r="C219" s="4"/>
      <c r="D219" s="217">
        <v>0</v>
      </c>
      <c r="E219" s="217">
        <v>0</v>
      </c>
      <c r="F219" s="217">
        <v>6355</v>
      </c>
      <c r="G219" s="217">
        <v>60603</v>
      </c>
      <c r="H219" s="217">
        <v>63287</v>
      </c>
      <c r="I219" s="217">
        <v>65184</v>
      </c>
      <c r="J219" s="217">
        <v>67140</v>
      </c>
      <c r="K219" s="217">
        <v>69154</v>
      </c>
      <c r="L219" s="217">
        <v>71229</v>
      </c>
      <c r="M219" s="217">
        <v>73366</v>
      </c>
      <c r="N219" s="217">
        <v>75567</v>
      </c>
      <c r="O219" s="217">
        <v>77834</v>
      </c>
      <c r="P219" s="217">
        <v>80169</v>
      </c>
      <c r="Q219" s="217">
        <v>82574</v>
      </c>
      <c r="R219" s="217">
        <v>85051</v>
      </c>
      <c r="S219" s="217">
        <v>87603</v>
      </c>
      <c r="T219" s="217">
        <v>90231</v>
      </c>
      <c r="U219" s="217">
        <v>92938</v>
      </c>
      <c r="V219" s="217">
        <v>95726</v>
      </c>
    </row>
    <row r="220" spans="1:22" x14ac:dyDescent="0.2">
      <c r="B220" s="4" t="s">
        <v>345</v>
      </c>
      <c r="C220" s="4"/>
      <c r="D220" s="217">
        <v>0</v>
      </c>
      <c r="E220" s="217">
        <v>0</v>
      </c>
      <c r="F220" s="217">
        <v>0</v>
      </c>
      <c r="G220" s="217">
        <v>0</v>
      </c>
      <c r="H220" s="217">
        <v>0</v>
      </c>
      <c r="I220" s="217">
        <v>0</v>
      </c>
      <c r="J220" s="217">
        <v>0</v>
      </c>
      <c r="K220" s="217">
        <v>0</v>
      </c>
      <c r="L220" s="217">
        <v>0</v>
      </c>
      <c r="M220" s="217">
        <v>0</v>
      </c>
      <c r="N220" s="217">
        <v>0</v>
      </c>
      <c r="O220" s="217">
        <v>0</v>
      </c>
      <c r="P220" s="217">
        <v>0</v>
      </c>
      <c r="Q220" s="217">
        <v>0</v>
      </c>
      <c r="R220" s="217">
        <v>0</v>
      </c>
      <c r="S220" s="217">
        <v>0</v>
      </c>
      <c r="T220" s="217">
        <v>0</v>
      </c>
      <c r="U220" s="217">
        <v>0</v>
      </c>
      <c r="V220" s="217">
        <v>0</v>
      </c>
    </row>
    <row r="221" spans="1:22" x14ac:dyDescent="0.2">
      <c r="B221" s="4" t="s">
        <v>230</v>
      </c>
      <c r="C221" s="4"/>
      <c r="D221" s="217">
        <v>0</v>
      </c>
      <c r="E221" s="217">
        <v>0</v>
      </c>
      <c r="F221" s="217">
        <v>0</v>
      </c>
      <c r="G221" s="217">
        <v>0</v>
      </c>
      <c r="H221" s="217">
        <v>0</v>
      </c>
      <c r="I221" s="217">
        <v>0</v>
      </c>
      <c r="J221" s="217">
        <v>0</v>
      </c>
      <c r="K221" s="217">
        <v>0</v>
      </c>
      <c r="L221" s="217">
        <v>0</v>
      </c>
      <c r="M221" s="217">
        <v>0</v>
      </c>
      <c r="N221" s="217">
        <v>0</v>
      </c>
      <c r="O221" s="217">
        <v>0</v>
      </c>
      <c r="P221" s="217">
        <v>0</v>
      </c>
      <c r="Q221" s="217">
        <v>0</v>
      </c>
      <c r="R221" s="217">
        <v>0</v>
      </c>
      <c r="S221" s="217">
        <v>0</v>
      </c>
      <c r="T221" s="217">
        <v>0</v>
      </c>
      <c r="U221" s="217">
        <v>0</v>
      </c>
      <c r="V221" s="217">
        <v>0</v>
      </c>
    </row>
    <row r="222" spans="1:22" x14ac:dyDescent="0.2">
      <c r="B222" s="4" t="s">
        <v>346</v>
      </c>
      <c r="C222" s="4"/>
      <c r="D222" s="217">
        <v>0</v>
      </c>
      <c r="E222" s="217">
        <v>0</v>
      </c>
      <c r="F222" s="217">
        <v>0</v>
      </c>
      <c r="G222" s="217">
        <v>0</v>
      </c>
      <c r="H222" s="217">
        <v>0</v>
      </c>
      <c r="I222" s="217">
        <v>0</v>
      </c>
      <c r="J222" s="217">
        <v>0</v>
      </c>
      <c r="K222" s="217">
        <v>0</v>
      </c>
      <c r="L222" s="217">
        <v>0</v>
      </c>
      <c r="M222" s="217">
        <v>0</v>
      </c>
      <c r="N222" s="217">
        <v>0</v>
      </c>
      <c r="O222" s="217">
        <v>0</v>
      </c>
      <c r="P222" s="217">
        <v>0</v>
      </c>
      <c r="Q222" s="217">
        <v>0</v>
      </c>
      <c r="R222" s="217">
        <v>0</v>
      </c>
      <c r="S222" s="217">
        <v>0</v>
      </c>
      <c r="T222" s="217">
        <v>0</v>
      </c>
      <c r="U222" s="217">
        <v>0</v>
      </c>
      <c r="V222" s="217">
        <v>0</v>
      </c>
    </row>
    <row r="223" spans="1:22" x14ac:dyDescent="0.2">
      <c r="B223" s="4" t="s">
        <v>347</v>
      </c>
      <c r="C223" s="4"/>
      <c r="D223" s="26">
        <v>0</v>
      </c>
      <c r="E223" s="26">
        <v>0</v>
      </c>
      <c r="F223" s="26">
        <v>0</v>
      </c>
      <c r="G223" s="26">
        <v>0</v>
      </c>
      <c r="H223" s="26">
        <v>0</v>
      </c>
      <c r="I223" s="26">
        <v>0</v>
      </c>
      <c r="J223" s="26">
        <v>0</v>
      </c>
      <c r="K223" s="26">
        <v>0</v>
      </c>
      <c r="L223" s="26">
        <v>0</v>
      </c>
      <c r="M223" s="26">
        <v>0</v>
      </c>
      <c r="N223" s="26">
        <v>0</v>
      </c>
      <c r="O223" s="26">
        <v>0</v>
      </c>
      <c r="P223" s="26">
        <v>0</v>
      </c>
      <c r="Q223" s="26">
        <v>0</v>
      </c>
      <c r="R223" s="26">
        <v>0</v>
      </c>
      <c r="S223" s="26">
        <v>0</v>
      </c>
      <c r="T223" s="26">
        <v>0</v>
      </c>
      <c r="U223" s="26">
        <v>0</v>
      </c>
      <c r="V223" s="26">
        <v>0</v>
      </c>
    </row>
    <row r="224" spans="1:22" x14ac:dyDescent="0.2">
      <c r="B224" s="4" t="s">
        <v>348</v>
      </c>
      <c r="C224" s="4"/>
      <c r="D224" s="222">
        <v>0</v>
      </c>
      <c r="E224" s="222">
        <v>0</v>
      </c>
      <c r="F224" s="222">
        <v>79701</v>
      </c>
      <c r="G224" s="222">
        <v>436970</v>
      </c>
      <c r="H224" s="222">
        <v>454126</v>
      </c>
      <c r="I224" s="222">
        <v>467747</v>
      </c>
      <c r="J224" s="222">
        <v>481779</v>
      </c>
      <c r="K224" s="222">
        <v>496233</v>
      </c>
      <c r="L224" s="222">
        <v>511120</v>
      </c>
      <c r="M224" s="222">
        <v>526454</v>
      </c>
      <c r="N224" s="222">
        <v>542247</v>
      </c>
      <c r="O224" s="222">
        <v>558515</v>
      </c>
      <c r="P224" s="222">
        <v>575270</v>
      </c>
      <c r="Q224" s="222">
        <v>592528</v>
      </c>
      <c r="R224" s="222">
        <v>610304</v>
      </c>
      <c r="S224" s="222">
        <v>628614</v>
      </c>
      <c r="T224" s="222">
        <v>647472</v>
      </c>
      <c r="U224" s="222">
        <v>666897</v>
      </c>
      <c r="V224" s="222">
        <v>686904</v>
      </c>
    </row>
    <row r="225" spans="1:22" x14ac:dyDescent="0.2">
      <c r="A225" s="4"/>
      <c r="B225" s="4"/>
      <c r="C225" s="4"/>
      <c r="D225" s="135"/>
      <c r="E225" s="135"/>
      <c r="F225" s="135"/>
      <c r="G225" s="135"/>
      <c r="H225" s="135"/>
      <c r="I225" s="135"/>
      <c r="J225" s="135"/>
      <c r="K225" s="135"/>
      <c r="L225" s="135"/>
      <c r="M225" s="135"/>
      <c r="N225" s="135"/>
      <c r="O225" s="135"/>
      <c r="P225" s="135"/>
      <c r="Q225" s="135"/>
      <c r="R225" s="135"/>
      <c r="S225" s="135"/>
      <c r="T225" s="135"/>
      <c r="U225" s="135"/>
      <c r="V225" s="135"/>
    </row>
    <row r="226" spans="1:22" x14ac:dyDescent="0.2">
      <c r="B226" s="4" t="s">
        <v>94</v>
      </c>
      <c r="C226" s="42" t="s">
        <v>349</v>
      </c>
      <c r="D226" s="217">
        <v>0</v>
      </c>
      <c r="E226" s="217">
        <v>0</v>
      </c>
      <c r="F226" s="217">
        <v>12378</v>
      </c>
      <c r="G226" s="217">
        <v>117579</v>
      </c>
      <c r="H226" s="217">
        <v>121979</v>
      </c>
      <c r="I226" s="217">
        <v>123570</v>
      </c>
      <c r="J226" s="217">
        <v>125168</v>
      </c>
      <c r="K226" s="217">
        <v>126770</v>
      </c>
      <c r="L226" s="217">
        <v>128378</v>
      </c>
      <c r="M226" s="217">
        <v>129991</v>
      </c>
      <c r="N226" s="217">
        <v>131606</v>
      </c>
      <c r="O226" s="217">
        <v>133225</v>
      </c>
      <c r="P226" s="217">
        <v>134846</v>
      </c>
      <c r="Q226" s="217">
        <v>136468</v>
      </c>
      <c r="R226" s="217">
        <v>138090</v>
      </c>
      <c r="S226" s="217">
        <v>139711</v>
      </c>
      <c r="T226" s="217">
        <v>141330</v>
      </c>
      <c r="U226" s="217">
        <v>142947</v>
      </c>
      <c r="V226" s="217">
        <v>144559</v>
      </c>
    </row>
    <row r="227" spans="1:22" x14ac:dyDescent="0.2">
      <c r="B227" s="4"/>
      <c r="C227" s="42"/>
      <c r="D227" s="217"/>
      <c r="E227" s="217"/>
      <c r="F227" s="217"/>
      <c r="G227" s="217"/>
      <c r="H227" s="217"/>
      <c r="I227" s="217"/>
      <c r="J227" s="217"/>
      <c r="K227" s="217"/>
      <c r="L227" s="217"/>
      <c r="M227" s="217"/>
      <c r="N227" s="217"/>
      <c r="O227" s="217"/>
      <c r="P227" s="217"/>
      <c r="Q227" s="217"/>
      <c r="R227" s="217"/>
      <c r="S227" s="217"/>
      <c r="T227" s="217"/>
      <c r="U227" s="217"/>
      <c r="V227" s="217"/>
    </row>
    <row r="228" spans="1:22" x14ac:dyDescent="0.2">
      <c r="B228" s="4" t="s">
        <v>350</v>
      </c>
      <c r="C228" s="42"/>
      <c r="D228" s="222">
        <v>0</v>
      </c>
      <c r="E228" s="222">
        <v>0</v>
      </c>
      <c r="F228" s="222">
        <v>245463</v>
      </c>
      <c r="G228" s="222">
        <v>1141274</v>
      </c>
      <c r="H228" s="222">
        <v>1182828</v>
      </c>
      <c r="I228" s="222">
        <v>1216240</v>
      </c>
      <c r="J228" s="222">
        <v>1250618</v>
      </c>
      <c r="K228" s="222">
        <v>1285984</v>
      </c>
      <c r="L228" s="222">
        <v>1322368</v>
      </c>
      <c r="M228" s="222">
        <v>1359801</v>
      </c>
      <c r="N228" s="222">
        <v>1398310</v>
      </c>
      <c r="O228" s="222">
        <v>1437930</v>
      </c>
      <c r="P228" s="222">
        <v>1478692</v>
      </c>
      <c r="Q228" s="222">
        <v>1520629</v>
      </c>
      <c r="R228" s="222">
        <v>1563776</v>
      </c>
      <c r="S228" s="222">
        <v>1608168</v>
      </c>
      <c r="T228" s="222">
        <v>1653840</v>
      </c>
      <c r="U228" s="222">
        <v>1700833</v>
      </c>
      <c r="V228" s="222">
        <v>1749182</v>
      </c>
    </row>
    <row r="229" spans="1:22" x14ac:dyDescent="0.2">
      <c r="B229" s="4"/>
      <c r="C229" s="42"/>
      <c r="D229" s="217"/>
      <c r="E229" s="217"/>
      <c r="F229" s="217"/>
      <c r="G229" s="217"/>
      <c r="H229" s="217"/>
      <c r="I229" s="217"/>
      <c r="J229" s="217"/>
      <c r="K229" s="217"/>
      <c r="L229" s="217"/>
      <c r="M229" s="217"/>
      <c r="N229" s="217"/>
      <c r="O229" s="217"/>
      <c r="P229" s="217"/>
      <c r="Q229" s="217"/>
      <c r="R229" s="217"/>
      <c r="S229" s="217"/>
      <c r="T229" s="217"/>
      <c r="U229" s="217"/>
      <c r="V229" s="217"/>
    </row>
    <row r="230" spans="1:22" x14ac:dyDescent="0.2">
      <c r="B230" s="4" t="s">
        <v>351</v>
      </c>
      <c r="C230" s="42"/>
      <c r="D230" s="217">
        <v>0</v>
      </c>
      <c r="E230" s="217">
        <v>0</v>
      </c>
      <c r="F230" s="217">
        <v>0</v>
      </c>
      <c r="G230" s="217">
        <v>0</v>
      </c>
      <c r="H230" s="217">
        <v>0</v>
      </c>
      <c r="I230" s="217">
        <v>0</v>
      </c>
      <c r="J230" s="217">
        <v>0</v>
      </c>
      <c r="K230" s="217">
        <v>0</v>
      </c>
      <c r="L230" s="217">
        <v>0</v>
      </c>
      <c r="M230" s="217">
        <v>0</v>
      </c>
      <c r="N230" s="217">
        <v>0</v>
      </c>
      <c r="O230" s="217">
        <v>0</v>
      </c>
      <c r="P230" s="217">
        <v>0</v>
      </c>
      <c r="Q230" s="217">
        <v>0</v>
      </c>
      <c r="R230" s="217">
        <v>0</v>
      </c>
      <c r="S230" s="217">
        <v>0</v>
      </c>
      <c r="T230" s="217">
        <v>0</v>
      </c>
      <c r="U230" s="217">
        <v>0</v>
      </c>
      <c r="V230" s="217">
        <v>0</v>
      </c>
    </row>
    <row r="231" spans="1:22" x14ac:dyDescent="0.2">
      <c r="A231" s="4"/>
      <c r="B231" s="4"/>
      <c r="C231" s="4"/>
      <c r="D231" s="135"/>
      <c r="E231" s="135"/>
      <c r="F231" s="135"/>
      <c r="G231" s="135"/>
      <c r="H231" s="135"/>
      <c r="I231" s="135"/>
      <c r="J231" s="135"/>
      <c r="K231" s="135"/>
      <c r="L231" s="135"/>
      <c r="M231" s="135"/>
      <c r="N231" s="135"/>
      <c r="O231" s="135"/>
      <c r="P231" s="135"/>
      <c r="Q231" s="135"/>
      <c r="R231" s="135"/>
      <c r="S231" s="135"/>
      <c r="T231" s="135"/>
      <c r="U231" s="135"/>
      <c r="V231" s="135"/>
    </row>
    <row r="232" spans="1:22" x14ac:dyDescent="0.2">
      <c r="A232" s="4" t="s">
        <v>352</v>
      </c>
      <c r="B232" s="4"/>
      <c r="C232" s="4"/>
      <c r="D232" s="222">
        <v>0</v>
      </c>
      <c r="E232" s="222">
        <v>0</v>
      </c>
      <c r="F232" s="222">
        <v>73182</v>
      </c>
      <c r="G232" s="222">
        <v>1935326</v>
      </c>
      <c r="H232" s="222">
        <v>1999496</v>
      </c>
      <c r="I232" s="222">
        <v>2029736</v>
      </c>
      <c r="J232" s="222">
        <v>2060278</v>
      </c>
      <c r="K232" s="222">
        <v>2091130</v>
      </c>
      <c r="L232" s="222">
        <v>2122288</v>
      </c>
      <c r="M232" s="222">
        <v>2153747</v>
      </c>
      <c r="N232" s="222">
        <v>2185510</v>
      </c>
      <c r="O232" s="222">
        <v>2217566</v>
      </c>
      <c r="P232" s="222">
        <v>2249914</v>
      </c>
      <c r="Q232" s="222">
        <v>2282549</v>
      </c>
      <c r="R232" s="222">
        <v>2315465</v>
      </c>
      <c r="S232" s="222">
        <v>2348659</v>
      </c>
      <c r="T232" s="222">
        <v>2382123</v>
      </c>
      <c r="U232" s="222">
        <v>2415849</v>
      </c>
      <c r="V232" s="222">
        <v>2449834</v>
      </c>
    </row>
    <row r="233" spans="1:22" x14ac:dyDescent="0.2">
      <c r="A233" s="4"/>
      <c r="B233" s="4"/>
      <c r="C233" s="4"/>
      <c r="D233" s="135"/>
      <c r="E233" s="135"/>
      <c r="F233" s="135"/>
      <c r="G233" s="135"/>
      <c r="H233" s="135"/>
      <c r="I233" s="135"/>
      <c r="J233" s="135"/>
      <c r="K233" s="135"/>
      <c r="L233" s="135"/>
      <c r="M233" s="135"/>
      <c r="N233" s="135"/>
      <c r="O233" s="135"/>
      <c r="P233" s="135"/>
      <c r="Q233" s="135"/>
      <c r="R233" s="135"/>
      <c r="S233" s="135"/>
      <c r="T233" s="135"/>
      <c r="U233" s="135"/>
      <c r="V233" s="135"/>
    </row>
    <row r="234" spans="1:22" x14ac:dyDescent="0.2">
      <c r="B234" s="4" t="s">
        <v>103</v>
      </c>
      <c r="C234" s="42" t="s">
        <v>69</v>
      </c>
      <c r="D234" s="217">
        <v>0</v>
      </c>
      <c r="E234" s="217">
        <v>0</v>
      </c>
      <c r="F234" s="217">
        <v>12933</v>
      </c>
      <c r="G234" s="217">
        <v>39964</v>
      </c>
      <c r="H234" s="217">
        <v>41163</v>
      </c>
      <c r="I234" s="217">
        <v>42398</v>
      </c>
      <c r="J234" s="217">
        <v>43670</v>
      </c>
      <c r="K234" s="217">
        <v>44980</v>
      </c>
      <c r="L234" s="217">
        <v>46329</v>
      </c>
      <c r="M234" s="217">
        <v>47719</v>
      </c>
      <c r="N234" s="217">
        <v>49151</v>
      </c>
      <c r="O234" s="217">
        <v>50626</v>
      </c>
      <c r="P234" s="217">
        <v>52145</v>
      </c>
      <c r="Q234" s="217">
        <v>53709</v>
      </c>
      <c r="R234" s="217">
        <v>55320</v>
      </c>
      <c r="S234" s="217">
        <v>56980</v>
      </c>
      <c r="T234" s="217">
        <v>58689</v>
      </c>
      <c r="U234" s="217">
        <v>60450</v>
      </c>
      <c r="V234" s="217">
        <v>62264</v>
      </c>
    </row>
    <row r="235" spans="1:22" x14ac:dyDescent="0.2">
      <c r="A235" s="4"/>
      <c r="B235" s="4"/>
      <c r="C235" s="4"/>
      <c r="D235" s="135"/>
      <c r="E235" s="135"/>
      <c r="F235" s="135"/>
      <c r="G235" s="135"/>
      <c r="H235" s="135"/>
      <c r="I235" s="135"/>
      <c r="J235" s="135"/>
      <c r="K235" s="135"/>
      <c r="L235" s="135"/>
      <c r="M235" s="135"/>
      <c r="N235" s="135"/>
      <c r="O235" s="135"/>
      <c r="P235" s="135"/>
      <c r="Q235" s="135"/>
      <c r="R235" s="135"/>
      <c r="S235" s="135"/>
      <c r="T235" s="135"/>
      <c r="U235" s="135"/>
      <c r="V235" s="135"/>
    </row>
    <row r="236" spans="1:22" ht="15.75" thickBot="1" x14ac:dyDescent="0.25">
      <c r="A236" s="4" t="s">
        <v>353</v>
      </c>
      <c r="B236" s="4"/>
      <c r="C236" s="4"/>
      <c r="D236" s="33">
        <v>0</v>
      </c>
      <c r="E236" s="33">
        <v>0</v>
      </c>
      <c r="F236" s="33">
        <v>60249</v>
      </c>
      <c r="G236" s="33">
        <v>1895362</v>
      </c>
      <c r="H236" s="33">
        <v>1958333</v>
      </c>
      <c r="I236" s="33">
        <v>1987338</v>
      </c>
      <c r="J236" s="33">
        <v>2016608</v>
      </c>
      <c r="K236" s="33">
        <v>2046150</v>
      </c>
      <c r="L236" s="33">
        <v>2075959</v>
      </c>
      <c r="M236" s="33">
        <v>2106028</v>
      </c>
      <c r="N236" s="33">
        <v>2136359</v>
      </c>
      <c r="O236" s="33">
        <v>2166940</v>
      </c>
      <c r="P236" s="33">
        <v>2197769</v>
      </c>
      <c r="Q236" s="33">
        <v>2228840</v>
      </c>
      <c r="R236" s="33">
        <v>2260145</v>
      </c>
      <c r="S236" s="33">
        <v>2291679</v>
      </c>
      <c r="T236" s="33">
        <v>2323434</v>
      </c>
      <c r="U236" s="33">
        <v>2355399</v>
      </c>
      <c r="V236" s="33">
        <v>2387570</v>
      </c>
    </row>
    <row r="237" spans="1:22" ht="15.75" thickTop="1" x14ac:dyDescent="0.2">
      <c r="A237" s="4"/>
      <c r="B237" s="4"/>
      <c r="C237" s="4"/>
      <c r="D237" s="135"/>
      <c r="E237" s="135"/>
      <c r="F237" s="135"/>
      <c r="G237" s="135"/>
      <c r="H237" s="135"/>
      <c r="I237" s="135"/>
      <c r="J237" s="135"/>
      <c r="K237" s="135"/>
      <c r="L237" s="135"/>
      <c r="M237" s="135"/>
      <c r="N237" s="135"/>
      <c r="O237" s="135"/>
      <c r="P237" s="135"/>
      <c r="Q237" s="135"/>
      <c r="R237" s="135"/>
      <c r="S237" s="135"/>
      <c r="T237" s="135"/>
      <c r="U237" s="135"/>
      <c r="V237" s="135"/>
    </row>
    <row r="238" spans="1:22" x14ac:dyDescent="0.2">
      <c r="A238" s="4"/>
      <c r="B238" s="229" t="s">
        <v>333</v>
      </c>
      <c r="C238" s="47"/>
      <c r="D238" s="47"/>
      <c r="E238" s="47"/>
      <c r="G238" s="230" t="s">
        <v>267</v>
      </c>
      <c r="H238" s="135"/>
      <c r="J238" s="230" t="s">
        <v>354</v>
      </c>
      <c r="K238" s="135"/>
      <c r="L238" s="135"/>
      <c r="M238" s="68" t="s">
        <v>355</v>
      </c>
      <c r="N238" s="135"/>
      <c r="O238" s="135"/>
      <c r="P238" s="135"/>
      <c r="Q238" s="135"/>
      <c r="R238" s="230" t="s">
        <v>356</v>
      </c>
      <c r="S238" s="135"/>
      <c r="T238" s="231">
        <v>0.8</v>
      </c>
      <c r="U238" s="135"/>
      <c r="V238" s="135"/>
    </row>
    <row r="239" spans="1:22" x14ac:dyDescent="0.2">
      <c r="A239" s="4"/>
      <c r="B239" s="47"/>
      <c r="C239" s="47"/>
      <c r="D239" s="232" t="s">
        <v>357</v>
      </c>
      <c r="E239" s="232" t="s">
        <v>358</v>
      </c>
      <c r="G239" s="135" t="s">
        <v>359</v>
      </c>
      <c r="H239" s="42">
        <v>1.02</v>
      </c>
      <c r="J239" s="135" t="s">
        <v>359</v>
      </c>
      <c r="K239" s="42">
        <v>1.02</v>
      </c>
      <c r="L239" s="135"/>
      <c r="M239" s="4" t="s">
        <v>360</v>
      </c>
      <c r="N239" s="135"/>
      <c r="O239" s="42">
        <v>1.03</v>
      </c>
      <c r="P239" s="135"/>
      <c r="Q239" s="135"/>
      <c r="R239" s="135" t="s">
        <v>361</v>
      </c>
      <c r="T239" s="233">
        <v>0</v>
      </c>
      <c r="U239" s="135"/>
      <c r="V239" s="135"/>
    </row>
    <row r="240" spans="1:22" x14ac:dyDescent="0.2">
      <c r="A240" s="4"/>
      <c r="B240" s="47" t="s">
        <v>362</v>
      </c>
      <c r="C240" s="47"/>
      <c r="D240" s="135">
        <v>0</v>
      </c>
      <c r="E240" s="135">
        <v>0</v>
      </c>
      <c r="G240" s="135" t="s">
        <v>363</v>
      </c>
      <c r="H240" s="42">
        <v>5.0000698606977687E-2</v>
      </c>
      <c r="J240" s="135" t="s">
        <v>363</v>
      </c>
      <c r="K240" s="42">
        <v>0</v>
      </c>
      <c r="L240" s="135"/>
      <c r="M240" s="4" t="s">
        <v>364</v>
      </c>
      <c r="N240" s="135"/>
      <c r="O240" s="42">
        <v>1.03</v>
      </c>
      <c r="P240" s="135"/>
      <c r="Q240" s="135"/>
      <c r="R240" s="135" t="s">
        <v>365</v>
      </c>
      <c r="T240" s="233">
        <v>0</v>
      </c>
      <c r="U240" s="135"/>
      <c r="V240" s="135"/>
    </row>
    <row r="241" spans="1:22" x14ac:dyDescent="0.2">
      <c r="A241" s="4"/>
      <c r="B241" s="47" t="s">
        <v>366</v>
      </c>
      <c r="C241" s="47"/>
      <c r="D241" s="135">
        <v>0</v>
      </c>
      <c r="E241" s="135">
        <v>0</v>
      </c>
      <c r="M241" s="4" t="s">
        <v>367</v>
      </c>
      <c r="N241" s="135"/>
      <c r="O241" s="42">
        <v>1.03</v>
      </c>
      <c r="P241" s="135"/>
      <c r="Q241" s="135"/>
      <c r="R241" s="135" t="s">
        <v>363</v>
      </c>
      <c r="T241" s="42">
        <v>0</v>
      </c>
      <c r="U241" s="135"/>
      <c r="V241" s="135"/>
    </row>
    <row r="242" spans="1:22" x14ac:dyDescent="0.2">
      <c r="A242" s="4"/>
      <c r="B242" s="47" t="s">
        <v>368</v>
      </c>
      <c r="C242" s="47"/>
      <c r="D242" s="135">
        <v>0</v>
      </c>
      <c r="E242" s="135">
        <v>0</v>
      </c>
      <c r="G242" s="230" t="s">
        <v>268</v>
      </c>
      <c r="H242" s="135"/>
      <c r="J242" s="230" t="s">
        <v>333</v>
      </c>
      <c r="K242" s="135"/>
      <c r="L242" s="135"/>
      <c r="M242" s="4" t="s">
        <v>369</v>
      </c>
      <c r="N242" s="135"/>
      <c r="O242" s="42">
        <v>1.03</v>
      </c>
      <c r="P242" s="135"/>
      <c r="Q242" s="135"/>
      <c r="R242" s="135"/>
      <c r="S242" s="135"/>
      <c r="T242" s="135"/>
      <c r="U242" s="135"/>
      <c r="V242" s="135"/>
    </row>
    <row r="243" spans="1:22" x14ac:dyDescent="0.2">
      <c r="A243" s="4"/>
      <c r="B243" s="47" t="s">
        <v>370</v>
      </c>
      <c r="C243" s="47"/>
      <c r="D243" s="135">
        <v>873</v>
      </c>
      <c r="E243" s="135">
        <v>10476</v>
      </c>
      <c r="G243" s="135" t="s">
        <v>359</v>
      </c>
      <c r="H243" s="42">
        <v>1.02</v>
      </c>
      <c r="J243" s="135" t="s">
        <v>359</v>
      </c>
      <c r="K243" s="42">
        <v>1.02</v>
      </c>
      <c r="L243" s="135"/>
      <c r="M243" s="4"/>
      <c r="N243" s="135"/>
      <c r="O243" s="135"/>
      <c r="P243" s="135"/>
      <c r="Q243" s="135"/>
      <c r="R243" s="230" t="s">
        <v>371</v>
      </c>
      <c r="S243" s="135"/>
      <c r="T243" s="135"/>
      <c r="U243" s="135"/>
      <c r="V243" s="135"/>
    </row>
    <row r="244" spans="1:22" x14ac:dyDescent="0.2">
      <c r="A244" s="4"/>
      <c r="B244" s="47" t="s">
        <v>372</v>
      </c>
      <c r="C244" s="47"/>
      <c r="D244" s="135">
        <v>0</v>
      </c>
      <c r="E244" s="135">
        <v>0</v>
      </c>
      <c r="G244" s="135" t="s">
        <v>363</v>
      </c>
      <c r="H244" s="42">
        <v>0</v>
      </c>
      <c r="M244" s="68" t="s">
        <v>373</v>
      </c>
      <c r="N244" s="135"/>
      <c r="O244" s="135"/>
      <c r="P244" s="135"/>
      <c r="Q244" s="135"/>
      <c r="R244" s="135" t="s">
        <v>361</v>
      </c>
      <c r="S244" s="135"/>
      <c r="T244" s="233">
        <v>0</v>
      </c>
      <c r="U244" s="135"/>
      <c r="V244" s="135"/>
    </row>
    <row r="245" spans="1:22" x14ac:dyDescent="0.2">
      <c r="A245" s="4"/>
      <c r="B245" s="47" t="s">
        <v>374</v>
      </c>
      <c r="C245" s="47"/>
      <c r="D245" s="135">
        <v>0</v>
      </c>
      <c r="E245" s="135">
        <v>0</v>
      </c>
      <c r="J245" s="230" t="s">
        <v>375</v>
      </c>
      <c r="K245" s="135"/>
      <c r="L245" s="135"/>
      <c r="M245" s="4" t="s">
        <v>376</v>
      </c>
      <c r="N245" s="135"/>
      <c r="O245" s="42">
        <v>1.03</v>
      </c>
      <c r="P245" s="135"/>
      <c r="Q245" s="135"/>
      <c r="R245" s="135" t="s">
        <v>365</v>
      </c>
      <c r="S245" s="135"/>
      <c r="T245" s="233">
        <v>0</v>
      </c>
      <c r="U245" s="135"/>
      <c r="V245" s="135"/>
    </row>
    <row r="246" spans="1:22" x14ac:dyDescent="0.2">
      <c r="A246" s="4"/>
      <c r="B246" s="47" t="s">
        <v>230</v>
      </c>
      <c r="C246" s="47"/>
      <c r="D246" s="135">
        <v>0</v>
      </c>
      <c r="E246" s="135">
        <v>0</v>
      </c>
      <c r="G246" s="230" t="s">
        <v>377</v>
      </c>
      <c r="H246" s="234"/>
      <c r="J246" s="235" t="s">
        <v>359</v>
      </c>
      <c r="K246" s="42">
        <v>1.03</v>
      </c>
      <c r="L246" s="135"/>
      <c r="M246" s="4" t="s">
        <v>378</v>
      </c>
      <c r="N246" s="135"/>
      <c r="O246" s="42">
        <v>1.03</v>
      </c>
      <c r="P246" s="135"/>
      <c r="Q246" s="135"/>
      <c r="R246" s="135" t="s">
        <v>363</v>
      </c>
      <c r="S246" s="135"/>
      <c r="T246" s="42">
        <v>0</v>
      </c>
      <c r="U246" s="135"/>
      <c r="V246" s="135"/>
    </row>
    <row r="247" spans="1:22" ht="15.75" thickBot="1" x14ac:dyDescent="0.25">
      <c r="A247" s="4"/>
      <c r="B247" s="47"/>
      <c r="C247" s="47" t="s">
        <v>176</v>
      </c>
      <c r="D247" s="236">
        <v>873</v>
      </c>
      <c r="E247" s="236">
        <v>10476</v>
      </c>
      <c r="G247" s="135" t="s">
        <v>359</v>
      </c>
      <c r="H247" s="42">
        <v>1.02</v>
      </c>
      <c r="J247" s="235" t="s">
        <v>363</v>
      </c>
      <c r="K247" s="237">
        <v>0.05</v>
      </c>
      <c r="L247" s="135"/>
      <c r="M247" s="4" t="s">
        <v>379</v>
      </c>
      <c r="N247" s="135"/>
      <c r="O247" s="42">
        <v>1.03</v>
      </c>
      <c r="P247" s="135"/>
      <c r="Q247" s="135"/>
      <c r="U247" s="135"/>
      <c r="V247" s="135"/>
    </row>
    <row r="248" spans="1:22" ht="16.5" thickTop="1" thickBot="1" x14ac:dyDescent="0.25">
      <c r="A248" s="4"/>
      <c r="C248" s="47" t="s">
        <v>380</v>
      </c>
      <c r="D248" s="238">
        <v>9</v>
      </c>
      <c r="E248" s="238">
        <v>108</v>
      </c>
      <c r="G248" s="135" t="s">
        <v>363</v>
      </c>
      <c r="H248" s="42">
        <v>4.9999549878016941E-2</v>
      </c>
      <c r="J248" s="239" t="s">
        <v>381</v>
      </c>
      <c r="K248" s="240">
        <v>2069</v>
      </c>
      <c r="L248" s="135"/>
      <c r="M248" s="4" t="s">
        <v>382</v>
      </c>
      <c r="N248" s="135"/>
      <c r="O248" s="42">
        <v>1.03</v>
      </c>
      <c r="P248" s="135"/>
      <c r="Q248" s="135"/>
      <c r="T248" s="135"/>
      <c r="U248" s="135"/>
      <c r="V248" s="135"/>
    </row>
    <row r="249" spans="1:22" ht="15.75" thickTop="1" x14ac:dyDescent="0.2">
      <c r="A249" s="4"/>
      <c r="B249" s="47"/>
      <c r="C249" s="47"/>
      <c r="D249" s="47"/>
      <c r="E249" s="47"/>
      <c r="F249" s="135"/>
      <c r="G249" s="135" t="s">
        <v>383</v>
      </c>
      <c r="H249" s="233">
        <v>65746</v>
      </c>
      <c r="J249" s="239" t="s">
        <v>384</v>
      </c>
      <c r="K249" s="240">
        <v>2085</v>
      </c>
      <c r="L249" s="135"/>
      <c r="M249" s="4" t="s">
        <v>369</v>
      </c>
      <c r="N249" s="135"/>
      <c r="O249" s="42">
        <v>1.03</v>
      </c>
      <c r="P249" s="135"/>
      <c r="Q249" s="135"/>
      <c r="T249" s="135"/>
      <c r="U249" s="135"/>
      <c r="V249" s="135"/>
    </row>
    <row r="250" spans="1:22" x14ac:dyDescent="0.2">
      <c r="A250" s="4"/>
      <c r="B250" s="229" t="s">
        <v>334</v>
      </c>
      <c r="C250" s="47"/>
      <c r="D250" s="47"/>
      <c r="E250" s="47"/>
      <c r="F250" s="47"/>
      <c r="G250" s="47"/>
      <c r="H250" s="47"/>
      <c r="I250" s="47"/>
      <c r="J250" s="239" t="s">
        <v>385</v>
      </c>
      <c r="K250" s="240">
        <v>2089</v>
      </c>
      <c r="L250" s="135"/>
      <c r="M250" s="4" t="s">
        <v>386</v>
      </c>
      <c r="N250" s="135"/>
      <c r="O250" s="42">
        <v>1.03</v>
      </c>
      <c r="P250" s="135"/>
      <c r="Q250" s="135"/>
      <c r="T250" s="135"/>
      <c r="U250" s="135"/>
      <c r="V250" s="135"/>
    </row>
    <row r="251" spans="1:22" x14ac:dyDescent="0.2">
      <c r="A251" s="4"/>
      <c r="B251" s="47" t="s">
        <v>387</v>
      </c>
      <c r="C251" s="47"/>
      <c r="D251" s="47"/>
      <c r="E251" s="38" t="s">
        <v>118</v>
      </c>
      <c r="F251" s="47"/>
      <c r="G251" s="47"/>
      <c r="H251" s="47"/>
      <c r="I251" s="47"/>
      <c r="J251" s="47"/>
      <c r="K251" s="47"/>
      <c r="L251" s="135"/>
      <c r="M251" s="135"/>
      <c r="N251" s="135"/>
      <c r="O251" s="135"/>
      <c r="P251" s="135"/>
      <c r="Q251" s="135"/>
      <c r="R251" s="135"/>
      <c r="S251" s="135"/>
      <c r="T251" s="135"/>
      <c r="U251" s="135"/>
      <c r="V251" s="135"/>
    </row>
    <row r="252" spans="1:22" x14ac:dyDescent="0.2">
      <c r="A252" s="4"/>
      <c r="B252" s="47" t="s">
        <v>388</v>
      </c>
      <c r="C252" s="47"/>
      <c r="D252" s="47"/>
      <c r="E252" s="42">
        <v>1.03</v>
      </c>
      <c r="F252" s="47"/>
      <c r="G252" s="47"/>
      <c r="H252" s="47"/>
      <c r="I252" s="47"/>
      <c r="J252" s="47"/>
      <c r="K252" s="47"/>
      <c r="L252" s="47"/>
      <c r="M252" s="135"/>
      <c r="N252" s="135"/>
      <c r="O252" s="135"/>
      <c r="P252" s="135"/>
      <c r="Q252" s="135"/>
      <c r="R252" s="135"/>
      <c r="S252" s="135"/>
      <c r="T252" s="135"/>
      <c r="U252" s="135"/>
      <c r="V252" s="135"/>
    </row>
    <row r="253" spans="1:22" s="132" customFormat="1" x14ac:dyDescent="0.2">
      <c r="A253" s="241"/>
      <c r="B253" s="241"/>
      <c r="C253" s="241"/>
      <c r="D253" s="242"/>
      <c r="E253" s="242"/>
      <c r="F253" s="242"/>
      <c r="G253" s="242"/>
      <c r="H253" s="242"/>
      <c r="I253" s="242"/>
      <c r="J253" s="242"/>
      <c r="K253" s="242"/>
      <c r="L253" s="242"/>
      <c r="M253" s="242"/>
      <c r="N253" s="242"/>
      <c r="O253" s="242"/>
      <c r="P253" s="242"/>
      <c r="Q253" s="242"/>
      <c r="R253" s="242"/>
      <c r="S253" s="242"/>
      <c r="T253" s="242"/>
      <c r="U253" s="242"/>
      <c r="V253" s="242"/>
    </row>
    <row r="254" spans="1:22" ht="18.75" thickBot="1" x14ac:dyDescent="0.3">
      <c r="A254" s="544" t="s">
        <v>389</v>
      </c>
      <c r="B254" s="553"/>
      <c r="C254" s="553"/>
      <c r="D254" s="553"/>
      <c r="E254" s="553"/>
      <c r="F254" s="553"/>
      <c r="G254" s="553"/>
      <c r="H254" s="2"/>
      <c r="I254" s="2"/>
      <c r="J254" s="2"/>
      <c r="K254" s="2"/>
      <c r="L254" s="2"/>
      <c r="M254" s="2"/>
      <c r="N254" s="2"/>
      <c r="O254" s="2"/>
      <c r="P254" s="2"/>
      <c r="Q254" s="2"/>
      <c r="R254" s="2"/>
      <c r="S254" s="2"/>
      <c r="T254" s="2"/>
      <c r="U254" s="2"/>
      <c r="V254" s="7" t="s">
        <v>69</v>
      </c>
    </row>
    <row r="255" spans="1:22" ht="15.75" x14ac:dyDescent="0.25">
      <c r="A255" s="545" t="s">
        <v>1135</v>
      </c>
      <c r="B255" s="547"/>
      <c r="C255" s="547"/>
      <c r="D255" s="547"/>
      <c r="E255" s="547"/>
      <c r="F255" s="547"/>
      <c r="G255" s="547"/>
      <c r="H255" s="11"/>
      <c r="I255" s="557"/>
      <c r="J255" s="557"/>
      <c r="K255" s="11"/>
      <c r="L255" s="12"/>
      <c r="M255" s="12"/>
      <c r="N255" s="13"/>
      <c r="O255" s="13"/>
      <c r="P255" s="13"/>
      <c r="Q255" s="13"/>
      <c r="R255" s="13" t="s">
        <v>71</v>
      </c>
      <c r="S255" s="14">
        <v>46210.286583449073</v>
      </c>
      <c r="T255" s="15">
        <v>46210.286583449073</v>
      </c>
      <c r="U255" s="13"/>
      <c r="V255" s="13" t="s">
        <v>390</v>
      </c>
    </row>
    <row r="256" spans="1:22" x14ac:dyDescent="0.2">
      <c r="A256" s="4"/>
      <c r="B256" s="4"/>
      <c r="C256" s="4"/>
      <c r="D256" s="4"/>
      <c r="E256" s="4"/>
      <c r="F256" s="4"/>
      <c r="G256" s="4"/>
      <c r="H256" s="4"/>
      <c r="I256" s="4"/>
      <c r="J256" s="4"/>
      <c r="K256" s="4"/>
      <c r="L256" s="4"/>
      <c r="M256" s="4"/>
      <c r="N256" s="4"/>
      <c r="O256" s="4"/>
      <c r="P256" s="4"/>
      <c r="Q256" s="4"/>
      <c r="R256" s="4"/>
      <c r="S256" s="4"/>
      <c r="T256" s="4"/>
      <c r="U256" s="4"/>
      <c r="V256" s="4"/>
    </row>
    <row r="257" spans="1:22" x14ac:dyDescent="0.2">
      <c r="A257" s="226"/>
      <c r="B257" s="226"/>
      <c r="C257" s="88"/>
      <c r="D257" s="227">
        <v>2026</v>
      </c>
      <c r="E257" s="227">
        <v>2027</v>
      </c>
      <c r="F257" s="227">
        <v>2028</v>
      </c>
      <c r="G257" s="227">
        <v>2029</v>
      </c>
      <c r="H257" s="227">
        <v>2030</v>
      </c>
      <c r="I257" s="227">
        <v>2031</v>
      </c>
      <c r="J257" s="227">
        <v>2032</v>
      </c>
      <c r="K257" s="227">
        <v>2033</v>
      </c>
      <c r="L257" s="227">
        <v>2034</v>
      </c>
      <c r="M257" s="227">
        <v>2035</v>
      </c>
      <c r="N257" s="227">
        <v>2036</v>
      </c>
      <c r="O257" s="227">
        <v>2037</v>
      </c>
      <c r="P257" s="227">
        <v>2038</v>
      </c>
      <c r="Q257" s="227">
        <v>2039</v>
      </c>
      <c r="R257" s="227">
        <v>2040</v>
      </c>
      <c r="S257" s="227">
        <v>2041</v>
      </c>
      <c r="T257" s="227">
        <v>2042</v>
      </c>
      <c r="U257" s="227">
        <v>2043</v>
      </c>
      <c r="V257" s="227">
        <v>2044</v>
      </c>
    </row>
    <row r="258" spans="1:22" x14ac:dyDescent="0.2">
      <c r="A258" s="4" t="s">
        <v>353</v>
      </c>
      <c r="B258" s="4"/>
      <c r="C258" s="4"/>
      <c r="D258" s="243">
        <v>0</v>
      </c>
      <c r="E258" s="243">
        <v>0</v>
      </c>
      <c r="F258" s="243">
        <v>60249</v>
      </c>
      <c r="G258" s="243">
        <v>1895362</v>
      </c>
      <c r="H258" s="243">
        <v>1958333</v>
      </c>
      <c r="I258" s="243">
        <v>1987338</v>
      </c>
      <c r="J258" s="243">
        <v>2016608</v>
      </c>
      <c r="K258" s="243">
        <v>2046150</v>
      </c>
      <c r="L258" s="243">
        <v>2075959</v>
      </c>
      <c r="M258" s="243">
        <v>2106028</v>
      </c>
      <c r="N258" s="243">
        <v>2136359</v>
      </c>
      <c r="O258" s="243">
        <v>2166940</v>
      </c>
      <c r="P258" s="243">
        <v>2197769</v>
      </c>
      <c r="Q258" s="243">
        <v>2228840</v>
      </c>
      <c r="R258" s="243">
        <v>2260145</v>
      </c>
      <c r="S258" s="243">
        <v>2291679</v>
      </c>
      <c r="T258" s="243">
        <v>2323434</v>
      </c>
      <c r="U258" s="243">
        <v>2355399</v>
      </c>
      <c r="V258" s="243">
        <v>2387570</v>
      </c>
    </row>
    <row r="259" spans="1:22" x14ac:dyDescent="0.2">
      <c r="D259" s="244"/>
      <c r="E259" s="244"/>
      <c r="F259" s="244"/>
      <c r="G259" s="244"/>
      <c r="H259" s="244"/>
      <c r="I259" s="244"/>
      <c r="J259" s="244"/>
      <c r="K259" s="244"/>
      <c r="L259" s="244"/>
      <c r="M259" s="244"/>
      <c r="N259" s="244"/>
      <c r="O259" s="244"/>
      <c r="P259" s="244"/>
      <c r="Q259" s="244"/>
      <c r="R259" s="244"/>
      <c r="S259" s="244"/>
      <c r="T259" s="244"/>
      <c r="U259" s="244"/>
      <c r="V259" s="244"/>
    </row>
    <row r="260" spans="1:22" x14ac:dyDescent="0.2">
      <c r="A260" s="4" t="s">
        <v>391</v>
      </c>
      <c r="B260" s="4"/>
      <c r="C260" s="4"/>
      <c r="D260" s="235"/>
      <c r="E260" s="235"/>
      <c r="F260" s="235"/>
      <c r="G260" s="235"/>
      <c r="H260" s="235"/>
      <c r="I260" s="235"/>
      <c r="J260" s="235"/>
      <c r="K260" s="235"/>
      <c r="L260" s="235"/>
      <c r="M260" s="235"/>
      <c r="N260" s="235"/>
      <c r="O260" s="235"/>
      <c r="P260" s="235"/>
      <c r="Q260" s="235"/>
      <c r="R260" s="235"/>
      <c r="S260" s="235"/>
      <c r="T260" s="235"/>
      <c r="U260" s="235"/>
      <c r="V260" s="235"/>
    </row>
    <row r="261" spans="1:22" x14ac:dyDescent="0.2">
      <c r="B261" s="4" t="s">
        <v>392</v>
      </c>
      <c r="C261" s="4"/>
      <c r="D261" s="245">
        <v>0</v>
      </c>
      <c r="E261" s="245">
        <v>0</v>
      </c>
      <c r="F261" s="245">
        <v>0</v>
      </c>
      <c r="G261" s="245">
        <v>4785</v>
      </c>
      <c r="H261" s="245">
        <v>7345</v>
      </c>
      <c r="I261" s="245">
        <v>7551</v>
      </c>
      <c r="J261" s="245">
        <v>7763</v>
      </c>
      <c r="K261" s="245">
        <v>7982</v>
      </c>
      <c r="L261" s="245">
        <v>7306</v>
      </c>
      <c r="M261" s="245">
        <v>7538</v>
      </c>
      <c r="N261" s="245">
        <v>9338</v>
      </c>
      <c r="O261" s="245">
        <v>11671</v>
      </c>
      <c r="P261" s="245">
        <v>14119</v>
      </c>
      <c r="Q261" s="245">
        <v>15491</v>
      </c>
      <c r="R261" s="245">
        <v>18172</v>
      </c>
      <c r="S261" s="245">
        <v>20974</v>
      </c>
      <c r="T261" s="245">
        <v>23898</v>
      </c>
      <c r="U261" s="245">
        <v>26944</v>
      </c>
      <c r="V261" s="245">
        <v>28731</v>
      </c>
    </row>
    <row r="262" spans="1:22" x14ac:dyDescent="0.2">
      <c r="B262" s="4" t="s">
        <v>230</v>
      </c>
      <c r="C262" s="4"/>
      <c r="D262" s="245">
        <v>0</v>
      </c>
      <c r="E262" s="245">
        <v>0</v>
      </c>
      <c r="F262" s="245">
        <v>0</v>
      </c>
      <c r="G262" s="245">
        <v>1260125</v>
      </c>
      <c r="H262" s="245">
        <v>0</v>
      </c>
      <c r="I262" s="245">
        <v>0</v>
      </c>
      <c r="J262" s="245">
        <v>0</v>
      </c>
      <c r="K262" s="245">
        <v>0</v>
      </c>
      <c r="L262" s="245">
        <v>0</v>
      </c>
      <c r="M262" s="245">
        <v>0</v>
      </c>
      <c r="N262" s="245">
        <v>0</v>
      </c>
      <c r="O262" s="245">
        <v>0</v>
      </c>
      <c r="P262" s="245">
        <v>0</v>
      </c>
      <c r="Q262" s="245">
        <v>0</v>
      </c>
      <c r="R262" s="245">
        <v>0</v>
      </c>
      <c r="S262" s="245">
        <v>0</v>
      </c>
      <c r="T262" s="245">
        <v>0</v>
      </c>
      <c r="U262" s="245">
        <v>0</v>
      </c>
      <c r="V262" s="245">
        <v>0</v>
      </c>
    </row>
    <row r="263" spans="1:22" x14ac:dyDescent="0.2">
      <c r="B263" s="4" t="s">
        <v>393</v>
      </c>
      <c r="C263" s="4"/>
      <c r="D263" s="246">
        <v>0</v>
      </c>
      <c r="E263" s="246">
        <v>0</v>
      </c>
      <c r="F263" s="246">
        <v>0</v>
      </c>
      <c r="G263" s="246">
        <v>1264910</v>
      </c>
      <c r="H263" s="246">
        <v>7345</v>
      </c>
      <c r="I263" s="246">
        <v>7551</v>
      </c>
      <c r="J263" s="246">
        <v>7763</v>
      </c>
      <c r="K263" s="246">
        <v>7982</v>
      </c>
      <c r="L263" s="246">
        <v>7306</v>
      </c>
      <c r="M263" s="246">
        <v>7538</v>
      </c>
      <c r="N263" s="246">
        <v>9338</v>
      </c>
      <c r="O263" s="246">
        <v>11671</v>
      </c>
      <c r="P263" s="246">
        <v>14119</v>
      </c>
      <c r="Q263" s="246">
        <v>15491</v>
      </c>
      <c r="R263" s="246">
        <v>18172</v>
      </c>
      <c r="S263" s="246">
        <v>20974</v>
      </c>
      <c r="T263" s="246">
        <v>23898</v>
      </c>
      <c r="U263" s="246">
        <v>26944</v>
      </c>
      <c r="V263" s="246">
        <v>28731</v>
      </c>
    </row>
    <row r="264" spans="1:22" x14ac:dyDescent="0.2">
      <c r="A264" s="4"/>
      <c r="B264" s="4"/>
      <c r="C264" s="4"/>
      <c r="D264" s="235"/>
      <c r="E264" s="235"/>
      <c r="F264" s="235"/>
      <c r="G264" s="235"/>
      <c r="H264" s="235"/>
      <c r="I264" s="235"/>
      <c r="J264" s="235"/>
      <c r="K264" s="235"/>
      <c r="L264" s="235"/>
      <c r="M264" s="235"/>
      <c r="N264" s="235"/>
      <c r="O264" s="235"/>
      <c r="P264" s="235"/>
      <c r="Q264" s="235"/>
      <c r="R264" s="235"/>
      <c r="S264" s="235"/>
      <c r="T264" s="235"/>
      <c r="U264" s="235"/>
      <c r="V264" s="235"/>
    </row>
    <row r="265" spans="1:22" x14ac:dyDescent="0.2">
      <c r="A265" s="4" t="s">
        <v>394</v>
      </c>
      <c r="B265" s="4"/>
      <c r="C265" s="4"/>
      <c r="D265" s="246">
        <v>0</v>
      </c>
      <c r="E265" s="246">
        <v>0</v>
      </c>
      <c r="F265" s="246">
        <v>60249</v>
      </c>
      <c r="G265" s="246">
        <v>3160272</v>
      </c>
      <c r="H265" s="246">
        <v>1965678</v>
      </c>
      <c r="I265" s="246">
        <v>1994889</v>
      </c>
      <c r="J265" s="246">
        <v>2024371</v>
      </c>
      <c r="K265" s="246">
        <v>2054132</v>
      </c>
      <c r="L265" s="246">
        <v>2083265</v>
      </c>
      <c r="M265" s="246">
        <v>2113566</v>
      </c>
      <c r="N265" s="246">
        <v>2145697</v>
      </c>
      <c r="O265" s="246">
        <v>2178611</v>
      </c>
      <c r="P265" s="246">
        <v>2211888</v>
      </c>
      <c r="Q265" s="246">
        <v>2244331</v>
      </c>
      <c r="R265" s="246">
        <v>2278317</v>
      </c>
      <c r="S265" s="246">
        <v>2312653</v>
      </c>
      <c r="T265" s="246">
        <v>2347332</v>
      </c>
      <c r="U265" s="246">
        <v>2382343</v>
      </c>
      <c r="V265" s="246">
        <v>2416301</v>
      </c>
    </row>
    <row r="266" spans="1:22" x14ac:dyDescent="0.2">
      <c r="A266" s="4"/>
      <c r="B266" s="4"/>
      <c r="C266" s="4"/>
      <c r="D266" s="235"/>
      <c r="E266" s="235"/>
      <c r="F266" s="235"/>
      <c r="G266" s="235"/>
      <c r="H266" s="235"/>
      <c r="I266" s="235"/>
      <c r="J266" s="235"/>
      <c r="K266" s="235"/>
      <c r="L266" s="235"/>
      <c r="M266" s="235"/>
      <c r="N266" s="235"/>
      <c r="O266" s="235"/>
      <c r="P266" s="235"/>
      <c r="Q266" s="235"/>
      <c r="R266" s="235"/>
      <c r="S266" s="235"/>
      <c r="T266" s="235"/>
      <c r="U266" s="235"/>
      <c r="V266" s="235"/>
    </row>
    <row r="267" spans="1:22" x14ac:dyDescent="0.2">
      <c r="A267" s="4" t="s">
        <v>395</v>
      </c>
      <c r="B267" s="4"/>
      <c r="C267" s="4"/>
      <c r="D267" s="235"/>
      <c r="E267" s="235"/>
      <c r="F267" s="235"/>
      <c r="G267" s="235"/>
      <c r="H267" s="235"/>
      <c r="I267" s="235"/>
      <c r="J267" s="235"/>
      <c r="K267" s="235"/>
      <c r="L267" s="235"/>
      <c r="M267" s="235"/>
      <c r="N267" s="235"/>
      <c r="O267" s="235"/>
      <c r="P267" s="235"/>
      <c r="Q267" s="235"/>
      <c r="R267" s="235"/>
      <c r="S267" s="235"/>
      <c r="T267" s="235"/>
      <c r="U267" s="235"/>
      <c r="V267" s="235"/>
    </row>
    <row r="268" spans="1:22" x14ac:dyDescent="0.2">
      <c r="B268" s="34" t="s">
        <v>396</v>
      </c>
      <c r="C268" s="47" t="s">
        <v>397</v>
      </c>
      <c r="D268" s="245">
        <v>0</v>
      </c>
      <c r="E268" s="245">
        <v>0</v>
      </c>
      <c r="F268" s="245">
        <v>0</v>
      </c>
      <c r="G268" s="245">
        <v>0</v>
      </c>
      <c r="H268" s="245">
        <v>0</v>
      </c>
      <c r="I268" s="245">
        <v>0</v>
      </c>
      <c r="J268" s="245">
        <v>0</v>
      </c>
      <c r="K268" s="245">
        <v>0</v>
      </c>
      <c r="L268" s="245">
        <v>0</v>
      </c>
      <c r="M268" s="245">
        <v>0</v>
      </c>
      <c r="N268" s="245">
        <v>0</v>
      </c>
      <c r="O268" s="245">
        <v>0</v>
      </c>
      <c r="P268" s="245">
        <v>0</v>
      </c>
      <c r="Q268" s="245">
        <v>0</v>
      </c>
      <c r="R268" s="245">
        <v>0</v>
      </c>
      <c r="S268" s="245">
        <v>0</v>
      </c>
      <c r="T268" s="245">
        <v>0</v>
      </c>
      <c r="U268" s="245">
        <v>0</v>
      </c>
      <c r="V268" s="245">
        <v>0</v>
      </c>
    </row>
    <row r="269" spans="1:22" x14ac:dyDescent="0.2">
      <c r="A269" s="247"/>
      <c r="B269" s="34" t="s">
        <v>1151</v>
      </c>
      <c r="C269" s="47" t="s">
        <v>397</v>
      </c>
      <c r="D269" s="245">
        <v>0</v>
      </c>
      <c r="E269" s="245">
        <v>0</v>
      </c>
      <c r="F269" s="245">
        <v>0</v>
      </c>
      <c r="G269" s="245">
        <v>-1006568</v>
      </c>
      <c r="H269" s="245">
        <v>-1509852</v>
      </c>
      <c r="I269" s="245">
        <v>-1509852</v>
      </c>
      <c r="J269" s="245">
        <v>-1509852</v>
      </c>
      <c r="K269" s="245">
        <v>-1509852</v>
      </c>
      <c r="L269" s="245">
        <v>-1509852</v>
      </c>
      <c r="M269" s="245">
        <v>-1509852</v>
      </c>
      <c r="N269" s="245">
        <v>-1509852</v>
      </c>
      <c r="O269" s="245">
        <v>-1509852</v>
      </c>
      <c r="P269" s="245">
        <v>-1509852</v>
      </c>
      <c r="Q269" s="245">
        <v>-1509852</v>
      </c>
      <c r="R269" s="245">
        <v>-1509852</v>
      </c>
      <c r="S269" s="245">
        <v>-1509852</v>
      </c>
      <c r="T269" s="245">
        <v>-1509852</v>
      </c>
      <c r="U269" s="245">
        <v>-1509852</v>
      </c>
      <c r="V269" s="245">
        <v>-1509852</v>
      </c>
    </row>
    <row r="270" spans="1:22" x14ac:dyDescent="0.2">
      <c r="A270" s="247"/>
      <c r="B270" s="34" t="s">
        <v>183</v>
      </c>
      <c r="C270" s="47">
        <v>0</v>
      </c>
      <c r="D270" s="245">
        <v>0</v>
      </c>
      <c r="E270" s="245">
        <v>0</v>
      </c>
      <c r="F270" s="245">
        <v>0</v>
      </c>
      <c r="G270" s="245">
        <v>0</v>
      </c>
      <c r="H270" s="245">
        <v>0</v>
      </c>
      <c r="I270" s="245">
        <v>0</v>
      </c>
      <c r="J270" s="245">
        <v>0</v>
      </c>
      <c r="K270" s="245">
        <v>0</v>
      </c>
      <c r="L270" s="245">
        <v>0</v>
      </c>
      <c r="M270" s="245">
        <v>0</v>
      </c>
      <c r="N270" s="245">
        <v>0</v>
      </c>
      <c r="O270" s="245">
        <v>0</v>
      </c>
      <c r="P270" s="245">
        <v>0</v>
      </c>
      <c r="Q270" s="245">
        <v>0</v>
      </c>
      <c r="R270" s="245">
        <v>0</v>
      </c>
      <c r="S270" s="245">
        <v>0</v>
      </c>
      <c r="T270" s="245">
        <v>0</v>
      </c>
      <c r="U270" s="245">
        <v>0</v>
      </c>
      <c r="V270" s="245">
        <v>0</v>
      </c>
    </row>
    <row r="271" spans="1:22" x14ac:dyDescent="0.2">
      <c r="A271" s="247"/>
      <c r="B271" s="34" t="s">
        <v>183</v>
      </c>
      <c r="C271" s="47">
        <v>0</v>
      </c>
      <c r="D271" s="245">
        <v>0</v>
      </c>
      <c r="E271" s="245">
        <v>0</v>
      </c>
      <c r="F271" s="245">
        <v>0</v>
      </c>
      <c r="G271" s="245">
        <v>0</v>
      </c>
      <c r="H271" s="245">
        <v>0</v>
      </c>
      <c r="I271" s="245">
        <v>0</v>
      </c>
      <c r="J271" s="245">
        <v>0</v>
      </c>
      <c r="K271" s="245">
        <v>0</v>
      </c>
      <c r="L271" s="245">
        <v>0</v>
      </c>
      <c r="M271" s="245">
        <v>0</v>
      </c>
      <c r="N271" s="245">
        <v>0</v>
      </c>
      <c r="O271" s="245">
        <v>0</v>
      </c>
      <c r="P271" s="245">
        <v>0</v>
      </c>
      <c r="Q271" s="245">
        <v>0</v>
      </c>
      <c r="R271" s="245">
        <v>0</v>
      </c>
      <c r="S271" s="245">
        <v>0</v>
      </c>
      <c r="T271" s="245">
        <v>0</v>
      </c>
      <c r="U271" s="245">
        <v>0</v>
      </c>
      <c r="V271" s="245">
        <v>0</v>
      </c>
    </row>
    <row r="272" spans="1:22" x14ac:dyDescent="0.2">
      <c r="A272" s="247"/>
      <c r="B272" s="34" t="s">
        <v>229</v>
      </c>
      <c r="C272" s="47">
        <v>0</v>
      </c>
      <c r="D272" s="245">
        <v>0</v>
      </c>
      <c r="E272" s="245">
        <v>0</v>
      </c>
      <c r="F272" s="245">
        <v>-60249</v>
      </c>
      <c r="G272" s="245">
        <v>60249</v>
      </c>
      <c r="H272" s="245">
        <v>0</v>
      </c>
      <c r="I272" s="245">
        <v>0</v>
      </c>
      <c r="J272" s="245">
        <v>0</v>
      </c>
      <c r="K272" s="245">
        <v>0</v>
      </c>
      <c r="L272" s="245">
        <v>0</v>
      </c>
      <c r="M272" s="245">
        <v>0</v>
      </c>
      <c r="N272" s="245">
        <v>0</v>
      </c>
      <c r="O272" s="245">
        <v>0</v>
      </c>
      <c r="P272" s="245">
        <v>0</v>
      </c>
      <c r="Q272" s="245">
        <v>0</v>
      </c>
      <c r="R272" s="245">
        <v>0</v>
      </c>
      <c r="S272" s="245">
        <v>0</v>
      </c>
      <c r="T272" s="245">
        <v>0</v>
      </c>
      <c r="U272" s="245">
        <v>0</v>
      </c>
      <c r="V272" s="245">
        <v>0</v>
      </c>
    </row>
    <row r="273" spans="1:22" x14ac:dyDescent="0.2">
      <c r="A273" s="247"/>
      <c r="B273" s="34" t="s">
        <v>183</v>
      </c>
      <c r="C273" s="47">
        <v>0</v>
      </c>
      <c r="D273" s="245">
        <v>0</v>
      </c>
      <c r="E273" s="245">
        <v>0</v>
      </c>
      <c r="F273" s="245">
        <v>0</v>
      </c>
      <c r="G273" s="245">
        <v>0</v>
      </c>
      <c r="H273" s="245">
        <v>0</v>
      </c>
      <c r="I273" s="245">
        <v>0</v>
      </c>
      <c r="J273" s="245">
        <v>0</v>
      </c>
      <c r="K273" s="245">
        <v>0</v>
      </c>
      <c r="L273" s="245">
        <v>0</v>
      </c>
      <c r="M273" s="245">
        <v>0</v>
      </c>
      <c r="N273" s="245">
        <v>0</v>
      </c>
      <c r="O273" s="245">
        <v>0</v>
      </c>
      <c r="P273" s="245">
        <v>0</v>
      </c>
      <c r="Q273" s="245">
        <v>0</v>
      </c>
      <c r="R273" s="245">
        <v>0</v>
      </c>
      <c r="S273" s="245">
        <v>0</v>
      </c>
      <c r="T273" s="245">
        <v>0</v>
      </c>
      <c r="U273" s="245">
        <v>0</v>
      </c>
      <c r="V273" s="245">
        <v>0</v>
      </c>
    </row>
    <row r="274" spans="1:22" x14ac:dyDescent="0.2">
      <c r="A274" s="247"/>
      <c r="B274" s="34" t="s">
        <v>183</v>
      </c>
      <c r="C274" s="47">
        <v>0</v>
      </c>
      <c r="D274" s="245">
        <v>0</v>
      </c>
      <c r="E274" s="245">
        <v>0</v>
      </c>
      <c r="F274" s="245">
        <v>0</v>
      </c>
      <c r="G274" s="245">
        <v>0</v>
      </c>
      <c r="H274" s="245">
        <v>0</v>
      </c>
      <c r="I274" s="245">
        <v>0</v>
      </c>
      <c r="J274" s="245">
        <v>0</v>
      </c>
      <c r="K274" s="245">
        <v>0</v>
      </c>
      <c r="L274" s="245">
        <v>0</v>
      </c>
      <c r="M274" s="245">
        <v>0</v>
      </c>
      <c r="N274" s="245">
        <v>0</v>
      </c>
      <c r="O274" s="245">
        <v>0</v>
      </c>
      <c r="P274" s="245">
        <v>0</v>
      </c>
      <c r="Q274" s="245">
        <v>0</v>
      </c>
      <c r="R274" s="245">
        <v>0</v>
      </c>
      <c r="S274" s="245">
        <v>0</v>
      </c>
      <c r="T274" s="245">
        <v>0</v>
      </c>
      <c r="U274" s="245">
        <v>0</v>
      </c>
      <c r="V274" s="245">
        <v>0</v>
      </c>
    </row>
    <row r="275" spans="1:22" x14ac:dyDescent="0.2">
      <c r="A275" s="247"/>
      <c r="B275" s="34" t="s">
        <v>233</v>
      </c>
      <c r="C275" s="47">
        <v>0</v>
      </c>
      <c r="D275" s="245">
        <v>0</v>
      </c>
      <c r="E275" s="245">
        <v>0</v>
      </c>
      <c r="F275" s="245">
        <v>0</v>
      </c>
      <c r="G275" s="245">
        <v>0</v>
      </c>
      <c r="H275" s="245">
        <v>0</v>
      </c>
      <c r="I275" s="245">
        <v>0</v>
      </c>
      <c r="J275" s="245">
        <v>0</v>
      </c>
      <c r="K275" s="245">
        <v>0</v>
      </c>
      <c r="L275" s="245">
        <v>0</v>
      </c>
      <c r="M275" s="245">
        <v>0</v>
      </c>
      <c r="N275" s="245">
        <v>0</v>
      </c>
      <c r="O275" s="245">
        <v>0</v>
      </c>
      <c r="P275" s="245">
        <v>0</v>
      </c>
      <c r="Q275" s="245">
        <v>0</v>
      </c>
      <c r="R275" s="245">
        <v>0</v>
      </c>
      <c r="S275" s="245">
        <v>0</v>
      </c>
      <c r="T275" s="245">
        <v>0</v>
      </c>
      <c r="U275" s="245">
        <v>0</v>
      </c>
      <c r="V275" s="245">
        <v>0</v>
      </c>
    </row>
    <row r="276" spans="1:22" x14ac:dyDescent="0.2">
      <c r="A276" s="247"/>
      <c r="B276" s="34" t="s">
        <v>734</v>
      </c>
      <c r="C276" s="47">
        <v>0</v>
      </c>
      <c r="D276" s="245">
        <v>0</v>
      </c>
      <c r="E276" s="245">
        <v>0</v>
      </c>
      <c r="F276" s="245">
        <v>0</v>
      </c>
      <c r="G276" s="245">
        <v>-26742</v>
      </c>
      <c r="H276" s="245">
        <v>-10927</v>
      </c>
      <c r="I276" s="245">
        <v>-11255</v>
      </c>
      <c r="J276" s="245">
        <v>-11593</v>
      </c>
      <c r="K276" s="245">
        <v>-11941</v>
      </c>
      <c r="L276" s="245">
        <v>-12299</v>
      </c>
      <c r="M276" s="245">
        <v>-12668</v>
      </c>
      <c r="N276" s="245">
        <v>-13048</v>
      </c>
      <c r="O276" s="245">
        <v>-13439</v>
      </c>
      <c r="P276" s="245">
        <v>-13842</v>
      </c>
      <c r="Q276" s="245">
        <v>-14257</v>
      </c>
      <c r="R276" s="245">
        <v>-14685</v>
      </c>
      <c r="S276" s="245">
        <v>-15126</v>
      </c>
      <c r="T276" s="245">
        <v>-15580</v>
      </c>
      <c r="U276" s="245">
        <v>-16047</v>
      </c>
      <c r="V276" s="245">
        <v>-16528</v>
      </c>
    </row>
    <row r="277" spans="1:22" x14ac:dyDescent="0.2">
      <c r="A277" s="247"/>
      <c r="B277" s="34" t="s">
        <v>183</v>
      </c>
      <c r="C277" s="47">
        <v>0</v>
      </c>
      <c r="D277" s="245">
        <v>0</v>
      </c>
      <c r="E277" s="245">
        <v>0</v>
      </c>
      <c r="F277" s="245">
        <v>0</v>
      </c>
      <c r="G277" s="245">
        <v>0</v>
      </c>
      <c r="H277" s="245">
        <v>0</v>
      </c>
      <c r="I277" s="245">
        <v>0</v>
      </c>
      <c r="J277" s="245">
        <v>0</v>
      </c>
      <c r="K277" s="245">
        <v>0</v>
      </c>
      <c r="L277" s="245">
        <v>0</v>
      </c>
      <c r="M277" s="245">
        <v>0</v>
      </c>
      <c r="N277" s="245">
        <v>0</v>
      </c>
      <c r="O277" s="245">
        <v>0</v>
      </c>
      <c r="P277" s="245">
        <v>0</v>
      </c>
      <c r="Q277" s="245">
        <v>0</v>
      </c>
      <c r="R277" s="245">
        <v>0</v>
      </c>
      <c r="S277" s="245">
        <v>0</v>
      </c>
      <c r="T277" s="245">
        <v>0</v>
      </c>
      <c r="U277" s="245">
        <v>0</v>
      </c>
      <c r="V277" s="245">
        <v>0</v>
      </c>
    </row>
    <row r="278" spans="1:22" x14ac:dyDescent="0.2">
      <c r="A278" s="247"/>
      <c r="B278" s="34" t="s">
        <v>235</v>
      </c>
      <c r="C278" s="47">
        <v>0</v>
      </c>
      <c r="D278" s="245">
        <v>0</v>
      </c>
      <c r="E278" s="245">
        <v>0</v>
      </c>
      <c r="F278" s="245">
        <v>0</v>
      </c>
      <c r="G278" s="245">
        <v>-2187211</v>
      </c>
      <c r="H278" s="245">
        <v>-444899</v>
      </c>
      <c r="I278" s="245">
        <v>-473782</v>
      </c>
      <c r="J278" s="245">
        <v>-502926</v>
      </c>
      <c r="K278" s="245">
        <v>-532339</v>
      </c>
      <c r="L278" s="245">
        <v>-561114</v>
      </c>
      <c r="M278" s="245">
        <v>-124604</v>
      </c>
      <c r="N278" s="245">
        <v>0</v>
      </c>
      <c r="O278" s="245">
        <v>0</v>
      </c>
      <c r="P278" s="245">
        <v>0</v>
      </c>
      <c r="Q278" s="245">
        <v>0</v>
      </c>
      <c r="R278" s="245">
        <v>0</v>
      </c>
      <c r="S278" s="245">
        <v>0</v>
      </c>
      <c r="T278" s="245">
        <v>0</v>
      </c>
      <c r="U278" s="245">
        <v>0</v>
      </c>
      <c r="V278" s="245">
        <v>0</v>
      </c>
    </row>
    <row r="279" spans="1:22" x14ac:dyDescent="0.2">
      <c r="A279" s="247"/>
      <c r="B279" s="34" t="s">
        <v>1152</v>
      </c>
      <c r="C279" s="47">
        <v>0</v>
      </c>
      <c r="D279" s="245">
        <v>0</v>
      </c>
      <c r="E279" s="245">
        <v>0</v>
      </c>
      <c r="F279" s="245">
        <v>0</v>
      </c>
      <c r="G279" s="245">
        <v>0</v>
      </c>
      <c r="H279" s="245">
        <v>0</v>
      </c>
      <c r="I279" s="245">
        <v>0</v>
      </c>
      <c r="J279" s="245">
        <v>0</v>
      </c>
      <c r="K279" s="245">
        <v>0</v>
      </c>
      <c r="L279" s="245">
        <v>0</v>
      </c>
      <c r="M279" s="245">
        <v>-312516</v>
      </c>
      <c r="N279" s="245">
        <v>-417274</v>
      </c>
      <c r="O279" s="245">
        <v>-439064</v>
      </c>
      <c r="P279" s="245">
        <v>-461090</v>
      </c>
      <c r="Q279" s="245">
        <v>-482549</v>
      </c>
      <c r="R279" s="245">
        <v>-505033</v>
      </c>
      <c r="S279" s="245">
        <v>-527742</v>
      </c>
      <c r="T279" s="245">
        <v>-550673</v>
      </c>
      <c r="U279" s="245">
        <v>-573817</v>
      </c>
      <c r="V279" s="245">
        <v>-596247</v>
      </c>
    </row>
    <row r="280" spans="1:22" x14ac:dyDescent="0.2">
      <c r="A280" s="247"/>
      <c r="B280" s="34" t="s">
        <v>1153</v>
      </c>
      <c r="C280" s="47">
        <v>0</v>
      </c>
      <c r="D280" s="245">
        <v>0</v>
      </c>
      <c r="E280" s="245">
        <v>0</v>
      </c>
      <c r="F280" s="245">
        <v>0</v>
      </c>
      <c r="G280" s="245">
        <v>0</v>
      </c>
      <c r="H280" s="245">
        <v>0</v>
      </c>
      <c r="I280" s="245">
        <v>0</v>
      </c>
      <c r="J280" s="245">
        <v>0</v>
      </c>
      <c r="K280" s="245">
        <v>0</v>
      </c>
      <c r="L280" s="245">
        <v>0</v>
      </c>
      <c r="M280" s="245">
        <v>0</v>
      </c>
      <c r="N280" s="245">
        <v>0</v>
      </c>
      <c r="O280" s="245">
        <v>0</v>
      </c>
      <c r="P280" s="245">
        <v>0</v>
      </c>
      <c r="Q280" s="245">
        <v>0</v>
      </c>
      <c r="R280" s="245">
        <v>0</v>
      </c>
      <c r="S280" s="245">
        <v>0</v>
      </c>
      <c r="T280" s="245">
        <v>0</v>
      </c>
      <c r="U280" s="245">
        <v>0</v>
      </c>
      <c r="V280" s="245">
        <v>0</v>
      </c>
    </row>
    <row r="281" spans="1:22" x14ac:dyDescent="0.2">
      <c r="A281" s="247"/>
      <c r="B281" s="34" t="s">
        <v>1150</v>
      </c>
      <c r="C281" s="47">
        <v>0</v>
      </c>
      <c r="D281" s="245">
        <v>0</v>
      </c>
      <c r="E281" s="245">
        <v>0</v>
      </c>
      <c r="F281" s="245">
        <v>0</v>
      </c>
      <c r="G281" s="245">
        <v>0</v>
      </c>
      <c r="H281" s="245">
        <v>0</v>
      </c>
      <c r="I281" s="245">
        <v>0</v>
      </c>
      <c r="J281" s="245">
        <v>0</v>
      </c>
      <c r="K281" s="245">
        <v>0</v>
      </c>
      <c r="L281" s="245">
        <v>0</v>
      </c>
      <c r="M281" s="245">
        <v>0</v>
      </c>
      <c r="N281" s="245">
        <v>0</v>
      </c>
      <c r="O281" s="245">
        <v>0</v>
      </c>
      <c r="P281" s="245">
        <v>0</v>
      </c>
      <c r="Q281" s="245">
        <v>0</v>
      </c>
      <c r="R281" s="245">
        <v>0</v>
      </c>
      <c r="S281" s="245">
        <v>0</v>
      </c>
      <c r="T281" s="245">
        <v>0</v>
      </c>
      <c r="U281" s="245">
        <v>0</v>
      </c>
      <c r="V281" s="245">
        <v>0</v>
      </c>
    </row>
    <row r="282" spans="1:22" x14ac:dyDescent="0.2">
      <c r="A282" s="247"/>
      <c r="B282" s="34" t="s">
        <v>1154</v>
      </c>
      <c r="C282" s="47">
        <v>0</v>
      </c>
      <c r="D282" s="245">
        <v>0</v>
      </c>
      <c r="E282" s="245">
        <v>0</v>
      </c>
      <c r="F282" s="245">
        <v>0</v>
      </c>
      <c r="G282" s="245">
        <v>0</v>
      </c>
      <c r="H282" s="245">
        <v>0</v>
      </c>
      <c r="I282" s="245">
        <v>0</v>
      </c>
      <c r="J282" s="245">
        <v>0</v>
      </c>
      <c r="K282" s="245">
        <v>0</v>
      </c>
      <c r="L282" s="245">
        <v>0</v>
      </c>
      <c r="M282" s="245">
        <v>0</v>
      </c>
      <c r="N282" s="245">
        <v>0</v>
      </c>
      <c r="O282" s="245">
        <v>0</v>
      </c>
      <c r="P282" s="245">
        <v>0</v>
      </c>
      <c r="Q282" s="245">
        <v>0</v>
      </c>
      <c r="R282" s="245">
        <v>0</v>
      </c>
      <c r="S282" s="245">
        <v>0</v>
      </c>
      <c r="T282" s="245">
        <v>0</v>
      </c>
      <c r="U282" s="245">
        <v>0</v>
      </c>
      <c r="V282" s="245">
        <v>0</v>
      </c>
    </row>
    <row r="283" spans="1:22" x14ac:dyDescent="0.2">
      <c r="A283" s="247"/>
      <c r="B283" s="34" t="s">
        <v>183</v>
      </c>
      <c r="C283" s="47">
        <v>0</v>
      </c>
      <c r="D283" s="245">
        <v>0</v>
      </c>
      <c r="E283" s="245">
        <v>0</v>
      </c>
      <c r="F283" s="245">
        <v>0</v>
      </c>
      <c r="G283" s="245">
        <v>0</v>
      </c>
      <c r="H283" s="245">
        <v>0</v>
      </c>
      <c r="I283" s="245">
        <v>0</v>
      </c>
      <c r="J283" s="245">
        <v>0</v>
      </c>
      <c r="K283" s="245">
        <v>0</v>
      </c>
      <c r="L283" s="245">
        <v>0</v>
      </c>
      <c r="M283" s="245">
        <v>0</v>
      </c>
      <c r="N283" s="245">
        <v>0</v>
      </c>
      <c r="O283" s="245">
        <v>0</v>
      </c>
      <c r="P283" s="245">
        <v>0</v>
      </c>
      <c r="Q283" s="245">
        <v>0</v>
      </c>
      <c r="R283" s="245">
        <v>0</v>
      </c>
      <c r="S283" s="245">
        <v>0</v>
      </c>
      <c r="T283" s="245">
        <v>0</v>
      </c>
      <c r="U283" s="245">
        <v>0</v>
      </c>
      <c r="V283" s="245">
        <v>0</v>
      </c>
    </row>
    <row r="284" spans="1:22" x14ac:dyDescent="0.2">
      <c r="A284" s="247"/>
      <c r="B284" s="34" t="s">
        <v>183</v>
      </c>
      <c r="C284" s="47">
        <v>0</v>
      </c>
      <c r="D284" s="245">
        <v>0</v>
      </c>
      <c r="E284" s="245">
        <v>0</v>
      </c>
      <c r="F284" s="245">
        <v>0</v>
      </c>
      <c r="G284" s="245">
        <v>0</v>
      </c>
      <c r="H284" s="245">
        <v>0</v>
      </c>
      <c r="I284" s="245">
        <v>0</v>
      </c>
      <c r="J284" s="245">
        <v>0</v>
      </c>
      <c r="K284" s="245">
        <v>0</v>
      </c>
      <c r="L284" s="245">
        <v>0</v>
      </c>
      <c r="M284" s="245">
        <v>0</v>
      </c>
      <c r="N284" s="245">
        <v>0</v>
      </c>
      <c r="O284" s="245">
        <v>0</v>
      </c>
      <c r="P284" s="245">
        <v>0</v>
      </c>
      <c r="Q284" s="245">
        <v>0</v>
      </c>
      <c r="R284" s="245">
        <v>0</v>
      </c>
      <c r="S284" s="245">
        <v>0</v>
      </c>
      <c r="T284" s="245">
        <v>0</v>
      </c>
      <c r="U284" s="245">
        <v>0</v>
      </c>
      <c r="V284" s="245">
        <v>0</v>
      </c>
    </row>
    <row r="285" spans="1:22" x14ac:dyDescent="0.2">
      <c r="A285" s="247"/>
      <c r="B285" s="34" t="s">
        <v>183</v>
      </c>
      <c r="C285" s="47">
        <v>0</v>
      </c>
      <c r="D285" s="245">
        <v>0</v>
      </c>
      <c r="E285" s="245">
        <v>0</v>
      </c>
      <c r="F285" s="245">
        <v>0</v>
      </c>
      <c r="G285" s="245">
        <v>0</v>
      </c>
      <c r="H285" s="245">
        <v>0</v>
      </c>
      <c r="I285" s="245">
        <v>0</v>
      </c>
      <c r="J285" s="245">
        <v>0</v>
      </c>
      <c r="K285" s="245">
        <v>0</v>
      </c>
      <c r="L285" s="245">
        <v>0</v>
      </c>
      <c r="M285" s="245">
        <v>0</v>
      </c>
      <c r="N285" s="245">
        <v>0</v>
      </c>
      <c r="O285" s="245">
        <v>0</v>
      </c>
      <c r="P285" s="245">
        <v>0</v>
      </c>
      <c r="Q285" s="245">
        <v>0</v>
      </c>
      <c r="R285" s="245">
        <v>0</v>
      </c>
      <c r="S285" s="245">
        <v>0</v>
      </c>
      <c r="T285" s="245">
        <v>0</v>
      </c>
      <c r="U285" s="245">
        <v>0</v>
      </c>
      <c r="V285" s="245">
        <v>0</v>
      </c>
    </row>
    <row r="286" spans="1:22" x14ac:dyDescent="0.2">
      <c r="A286" s="247"/>
      <c r="B286" s="34" t="s">
        <v>183</v>
      </c>
      <c r="C286" s="47">
        <v>0</v>
      </c>
      <c r="D286" s="245">
        <v>0</v>
      </c>
      <c r="E286" s="245">
        <v>0</v>
      </c>
      <c r="F286" s="245">
        <v>0</v>
      </c>
      <c r="G286" s="245">
        <v>0</v>
      </c>
      <c r="H286" s="245">
        <v>0</v>
      </c>
      <c r="I286" s="245">
        <v>0</v>
      </c>
      <c r="J286" s="245">
        <v>0</v>
      </c>
      <c r="K286" s="245">
        <v>0</v>
      </c>
      <c r="L286" s="245">
        <v>0</v>
      </c>
      <c r="M286" s="245">
        <v>0</v>
      </c>
      <c r="N286" s="245">
        <v>0</v>
      </c>
      <c r="O286" s="245">
        <v>0</v>
      </c>
      <c r="P286" s="245">
        <v>0</v>
      </c>
      <c r="Q286" s="245">
        <v>0</v>
      </c>
      <c r="R286" s="245">
        <v>0</v>
      </c>
      <c r="S286" s="245">
        <v>0</v>
      </c>
      <c r="T286" s="245">
        <v>0</v>
      </c>
      <c r="U286" s="245">
        <v>0</v>
      </c>
      <c r="V286" s="245">
        <v>0</v>
      </c>
    </row>
    <row r="287" spans="1:22" x14ac:dyDescent="0.2">
      <c r="A287" s="247"/>
      <c r="B287" s="34" t="s">
        <v>183</v>
      </c>
      <c r="C287" s="47">
        <v>0</v>
      </c>
      <c r="D287" s="245">
        <v>0</v>
      </c>
      <c r="E287" s="245">
        <v>0</v>
      </c>
      <c r="F287" s="245">
        <v>0</v>
      </c>
      <c r="G287" s="245">
        <v>0</v>
      </c>
      <c r="H287" s="245">
        <v>0</v>
      </c>
      <c r="I287" s="245">
        <v>0</v>
      </c>
      <c r="J287" s="245">
        <v>0</v>
      </c>
      <c r="K287" s="245">
        <v>0</v>
      </c>
      <c r="L287" s="245">
        <v>0</v>
      </c>
      <c r="M287" s="245">
        <v>0</v>
      </c>
      <c r="N287" s="245">
        <v>0</v>
      </c>
      <c r="O287" s="245">
        <v>0</v>
      </c>
      <c r="P287" s="245">
        <v>0</v>
      </c>
      <c r="Q287" s="245">
        <v>0</v>
      </c>
      <c r="R287" s="245">
        <v>0</v>
      </c>
      <c r="S287" s="245">
        <v>0</v>
      </c>
      <c r="T287" s="245">
        <v>0</v>
      </c>
      <c r="U287" s="245">
        <v>0</v>
      </c>
      <c r="V287" s="245">
        <v>0</v>
      </c>
    </row>
    <row r="288" spans="1:22" x14ac:dyDescent="0.2">
      <c r="A288" s="247"/>
      <c r="B288" s="34" t="s">
        <v>1155</v>
      </c>
      <c r="C288" s="47">
        <v>0</v>
      </c>
      <c r="D288" s="245">
        <v>0</v>
      </c>
      <c r="E288" s="245">
        <v>0</v>
      </c>
      <c r="F288" s="245">
        <v>0</v>
      </c>
      <c r="G288" s="245">
        <v>0</v>
      </c>
      <c r="H288" s="245">
        <v>0</v>
      </c>
      <c r="I288" s="245">
        <v>0</v>
      </c>
      <c r="J288" s="245">
        <v>0</v>
      </c>
      <c r="K288" s="245">
        <v>0</v>
      </c>
      <c r="L288" s="245">
        <v>0</v>
      </c>
      <c r="M288" s="245">
        <v>-138533</v>
      </c>
      <c r="N288" s="245">
        <v>-184971</v>
      </c>
      <c r="O288" s="245">
        <v>-194630</v>
      </c>
      <c r="P288" s="245">
        <v>-204394</v>
      </c>
      <c r="Q288" s="245">
        <v>-213906</v>
      </c>
      <c r="R288" s="245">
        <v>-223872</v>
      </c>
      <c r="S288" s="245">
        <v>-233940</v>
      </c>
      <c r="T288" s="245">
        <v>-244104</v>
      </c>
      <c r="U288" s="245">
        <v>-254364</v>
      </c>
      <c r="V288" s="245">
        <v>-264307</v>
      </c>
    </row>
    <row r="289" spans="1:22" x14ac:dyDescent="0.2">
      <c r="A289" s="4"/>
      <c r="B289" s="4"/>
      <c r="C289" s="4"/>
      <c r="D289" s="235"/>
      <c r="E289" s="235"/>
      <c r="F289" s="235"/>
      <c r="G289" s="235"/>
      <c r="H289" s="235"/>
      <c r="I289" s="235"/>
      <c r="J289" s="235"/>
      <c r="K289" s="235"/>
      <c r="L289" s="235"/>
      <c r="M289" s="235"/>
      <c r="N289" s="235"/>
      <c r="O289" s="235"/>
      <c r="P289" s="235"/>
      <c r="Q289" s="235"/>
      <c r="R289" s="235"/>
      <c r="S289" s="235"/>
      <c r="T289" s="235"/>
      <c r="U289" s="235"/>
      <c r="V289" s="235"/>
    </row>
    <row r="290" spans="1:22" x14ac:dyDescent="0.2">
      <c r="A290" s="4" t="s">
        <v>394</v>
      </c>
      <c r="B290" s="4"/>
      <c r="C290" s="4"/>
      <c r="D290" s="246">
        <v>0</v>
      </c>
      <c r="E290" s="246">
        <v>0</v>
      </c>
      <c r="F290" s="246">
        <v>0</v>
      </c>
      <c r="G290" s="246">
        <v>0</v>
      </c>
      <c r="H290" s="246">
        <v>0</v>
      </c>
      <c r="I290" s="246">
        <v>0</v>
      </c>
      <c r="J290" s="246">
        <v>0</v>
      </c>
      <c r="K290" s="246">
        <v>0</v>
      </c>
      <c r="L290" s="246">
        <v>0</v>
      </c>
      <c r="M290" s="246">
        <v>15393</v>
      </c>
      <c r="N290" s="246">
        <v>20552</v>
      </c>
      <c r="O290" s="246">
        <v>21626</v>
      </c>
      <c r="P290" s="246">
        <v>22710</v>
      </c>
      <c r="Q290" s="246">
        <v>23767</v>
      </c>
      <c r="R290" s="246">
        <v>24875</v>
      </c>
      <c r="S290" s="246">
        <v>25993</v>
      </c>
      <c r="T290" s="246">
        <v>27123</v>
      </c>
      <c r="U290" s="246">
        <v>28263</v>
      </c>
      <c r="V290" s="246">
        <v>29367</v>
      </c>
    </row>
    <row r="291" spans="1:22" x14ac:dyDescent="0.2">
      <c r="A291" s="4"/>
      <c r="B291" s="4"/>
      <c r="C291" s="4"/>
      <c r="D291" s="235"/>
      <c r="E291" s="235"/>
      <c r="F291" s="235"/>
      <c r="G291" s="235"/>
      <c r="H291" s="235"/>
      <c r="I291" s="235"/>
      <c r="J291" s="235"/>
      <c r="K291" s="235"/>
      <c r="L291" s="235"/>
      <c r="M291" s="235"/>
      <c r="N291" s="235"/>
      <c r="O291" s="235"/>
      <c r="P291" s="235"/>
      <c r="Q291" s="235"/>
      <c r="R291" s="235"/>
      <c r="S291" s="235"/>
      <c r="T291" s="235"/>
      <c r="U291" s="235"/>
      <c r="V291" s="235"/>
    </row>
    <row r="292" spans="1:22" x14ac:dyDescent="0.2">
      <c r="B292" s="4" t="s">
        <v>398</v>
      </c>
      <c r="C292" s="4"/>
      <c r="D292" s="245">
        <v>0</v>
      </c>
      <c r="E292" s="245">
        <v>0</v>
      </c>
      <c r="F292" s="245">
        <v>0</v>
      </c>
      <c r="G292" s="245">
        <v>0</v>
      </c>
      <c r="H292" s="245">
        <v>0</v>
      </c>
      <c r="I292" s="245">
        <v>0</v>
      </c>
      <c r="J292" s="245">
        <v>0</v>
      </c>
      <c r="K292" s="245">
        <v>0</v>
      </c>
      <c r="L292" s="245">
        <v>0</v>
      </c>
      <c r="M292" s="245">
        <v>0</v>
      </c>
      <c r="N292" s="245">
        <v>0</v>
      </c>
      <c r="O292" s="245">
        <v>0</v>
      </c>
      <c r="P292" s="245">
        <v>0</v>
      </c>
      <c r="Q292" s="245">
        <v>0</v>
      </c>
      <c r="R292" s="245">
        <v>0</v>
      </c>
      <c r="S292" s="245">
        <v>0</v>
      </c>
      <c r="T292" s="245">
        <v>0</v>
      </c>
      <c r="U292" s="245">
        <v>0</v>
      </c>
      <c r="V292" s="245">
        <v>0</v>
      </c>
    </row>
    <row r="293" spans="1:22" x14ac:dyDescent="0.2">
      <c r="B293" s="4" t="s">
        <v>399</v>
      </c>
      <c r="C293" s="4"/>
      <c r="D293" s="245">
        <v>0</v>
      </c>
      <c r="E293" s="245">
        <v>0</v>
      </c>
      <c r="F293" s="245">
        <v>0</v>
      </c>
      <c r="G293" s="245">
        <v>0</v>
      </c>
      <c r="H293" s="245">
        <v>0</v>
      </c>
      <c r="I293" s="245">
        <v>0</v>
      </c>
      <c r="J293" s="245">
        <v>0</v>
      </c>
      <c r="K293" s="245">
        <v>0</v>
      </c>
      <c r="L293" s="245">
        <v>0</v>
      </c>
      <c r="M293" s="245">
        <v>0</v>
      </c>
      <c r="N293" s="245">
        <v>0</v>
      </c>
      <c r="O293" s="245">
        <v>0</v>
      </c>
      <c r="P293" s="245">
        <v>0</v>
      </c>
      <c r="Q293" s="245">
        <v>0</v>
      </c>
      <c r="R293" s="245">
        <v>0</v>
      </c>
      <c r="S293" s="245">
        <v>0</v>
      </c>
      <c r="T293" s="245">
        <v>0</v>
      </c>
      <c r="U293" s="245">
        <v>0</v>
      </c>
      <c r="V293" s="245">
        <v>0</v>
      </c>
    </row>
    <row r="294" spans="1:22" x14ac:dyDescent="0.2">
      <c r="A294" s="4"/>
      <c r="B294" s="4"/>
      <c r="C294" s="4"/>
      <c r="D294" s="235"/>
      <c r="E294" s="235"/>
      <c r="F294" s="235"/>
      <c r="G294" s="235"/>
      <c r="H294" s="235"/>
      <c r="I294" s="235"/>
      <c r="J294" s="235"/>
      <c r="K294" s="235"/>
      <c r="L294" s="235"/>
      <c r="M294" s="235"/>
      <c r="N294" s="235"/>
      <c r="O294" s="235"/>
      <c r="P294" s="235"/>
      <c r="Q294" s="235"/>
      <c r="R294" s="235"/>
      <c r="S294" s="235"/>
      <c r="T294" s="235"/>
      <c r="U294" s="235"/>
      <c r="V294" s="235"/>
    </row>
    <row r="295" spans="1:22" ht="15.75" thickBot="1" x14ac:dyDescent="0.25">
      <c r="A295" s="4" t="s">
        <v>400</v>
      </c>
      <c r="B295" s="4"/>
      <c r="C295" s="4"/>
      <c r="D295" s="248">
        <v>0</v>
      </c>
      <c r="E295" s="248">
        <v>0</v>
      </c>
      <c r="F295" s="248">
        <v>0</v>
      </c>
      <c r="G295" s="248">
        <v>0</v>
      </c>
      <c r="H295" s="248">
        <v>0</v>
      </c>
      <c r="I295" s="248">
        <v>0</v>
      </c>
      <c r="J295" s="248">
        <v>0</v>
      </c>
      <c r="K295" s="248">
        <v>0</v>
      </c>
      <c r="L295" s="248">
        <v>0</v>
      </c>
      <c r="M295" s="248">
        <v>15393</v>
      </c>
      <c r="N295" s="248">
        <v>20552</v>
      </c>
      <c r="O295" s="248">
        <v>21626</v>
      </c>
      <c r="P295" s="248">
        <v>22710</v>
      </c>
      <c r="Q295" s="248">
        <v>23767</v>
      </c>
      <c r="R295" s="248">
        <v>24875</v>
      </c>
      <c r="S295" s="248">
        <v>25993</v>
      </c>
      <c r="T295" s="248">
        <v>27123</v>
      </c>
      <c r="U295" s="248">
        <v>28263</v>
      </c>
      <c r="V295" s="248">
        <v>29367</v>
      </c>
    </row>
    <row r="296" spans="1:22" ht="15.75" thickTop="1" x14ac:dyDescent="0.2">
      <c r="A296" s="4"/>
      <c r="B296" s="4"/>
      <c r="C296" s="4"/>
      <c r="D296" s="235"/>
      <c r="E296" s="235"/>
      <c r="F296" s="235"/>
      <c r="G296" s="235"/>
      <c r="H296" s="235"/>
      <c r="I296" s="235"/>
      <c r="J296" s="235"/>
      <c r="K296" s="235"/>
      <c r="L296" s="235"/>
      <c r="M296" s="235"/>
      <c r="N296" s="235"/>
      <c r="O296" s="235"/>
      <c r="P296" s="235"/>
      <c r="Q296" s="235"/>
      <c r="R296" s="235"/>
      <c r="S296" s="235"/>
      <c r="T296" s="235"/>
      <c r="U296" s="235"/>
      <c r="V296" s="235"/>
    </row>
    <row r="297" spans="1:22" x14ac:dyDescent="0.2">
      <c r="A297" s="4" t="s">
        <v>401</v>
      </c>
      <c r="B297" s="4"/>
      <c r="C297" s="4"/>
      <c r="D297" s="141">
        <v>0</v>
      </c>
      <c r="E297" s="141">
        <v>0</v>
      </c>
      <c r="F297" s="141">
        <v>0</v>
      </c>
      <c r="G297" s="141">
        <v>0</v>
      </c>
      <c r="H297" s="141">
        <v>0</v>
      </c>
      <c r="I297" s="141">
        <v>0</v>
      </c>
      <c r="J297" s="141">
        <v>0</v>
      </c>
      <c r="K297" s="141">
        <v>0</v>
      </c>
      <c r="L297" s="141">
        <v>0</v>
      </c>
      <c r="M297" s="141">
        <v>0</v>
      </c>
      <c r="N297" s="141">
        <v>0</v>
      </c>
      <c r="O297" s="141">
        <v>0</v>
      </c>
      <c r="P297" s="141">
        <v>0</v>
      </c>
      <c r="Q297" s="141">
        <v>0</v>
      </c>
      <c r="R297" s="141">
        <v>0</v>
      </c>
      <c r="S297" s="141">
        <v>0</v>
      </c>
      <c r="T297" s="141">
        <v>0</v>
      </c>
      <c r="U297" s="141">
        <v>0</v>
      </c>
      <c r="V297" s="141">
        <v>0</v>
      </c>
    </row>
    <row r="298" spans="1:22" x14ac:dyDescent="0.2">
      <c r="A298" s="4"/>
      <c r="B298" s="4"/>
      <c r="C298" s="4"/>
      <c r="D298" s="235"/>
      <c r="E298" s="235"/>
      <c r="F298" s="235"/>
      <c r="G298" s="235"/>
      <c r="H298" s="235"/>
      <c r="I298" s="235"/>
      <c r="J298" s="235"/>
      <c r="K298" s="235"/>
      <c r="L298" s="235"/>
      <c r="M298" s="235"/>
      <c r="N298" s="235"/>
      <c r="O298" s="235"/>
      <c r="P298" s="235"/>
      <c r="Q298" s="235"/>
      <c r="R298" s="235"/>
      <c r="S298" s="235"/>
      <c r="T298" s="235"/>
      <c r="U298" s="235"/>
      <c r="V298" s="235"/>
    </row>
    <row r="299" spans="1:22" ht="15.75" thickBot="1" x14ac:dyDescent="0.25">
      <c r="A299" s="4" t="s">
        <v>402</v>
      </c>
      <c r="B299" s="4"/>
      <c r="C299" s="4"/>
      <c r="D299" s="249">
        <v>0</v>
      </c>
      <c r="E299" s="249">
        <v>0</v>
      </c>
      <c r="F299" s="249">
        <v>0</v>
      </c>
      <c r="G299" s="249">
        <v>0</v>
      </c>
      <c r="H299" s="249">
        <v>0</v>
      </c>
      <c r="I299" s="249">
        <v>0</v>
      </c>
      <c r="J299" s="249">
        <v>0</v>
      </c>
      <c r="K299" s="249">
        <v>0</v>
      </c>
      <c r="L299" s="249">
        <v>0</v>
      </c>
      <c r="M299" s="249">
        <v>15391</v>
      </c>
      <c r="N299" s="249">
        <v>20550</v>
      </c>
      <c r="O299" s="249">
        <v>21624</v>
      </c>
      <c r="P299" s="249">
        <v>22708</v>
      </c>
      <c r="Q299" s="249">
        <v>23765</v>
      </c>
      <c r="R299" s="249">
        <v>24873</v>
      </c>
      <c r="S299" s="249">
        <v>25990</v>
      </c>
      <c r="T299" s="249">
        <v>27120</v>
      </c>
      <c r="U299" s="249">
        <v>28260</v>
      </c>
      <c r="V299" s="249">
        <v>29364</v>
      </c>
    </row>
    <row r="300" spans="1:22" ht="15.75" thickTop="1" x14ac:dyDescent="0.2">
      <c r="A300" s="4"/>
      <c r="B300" s="4"/>
      <c r="C300" s="4"/>
      <c r="D300" s="250"/>
      <c r="E300" s="250"/>
      <c r="F300" s="250"/>
      <c r="G300" s="250"/>
      <c r="H300" s="250"/>
      <c r="I300" s="250"/>
      <c r="J300" s="250"/>
      <c r="K300" s="250"/>
      <c r="L300" s="250"/>
      <c r="M300" s="250"/>
      <c r="N300" s="250"/>
      <c r="O300" s="250"/>
      <c r="P300" s="250"/>
      <c r="Q300" s="250"/>
      <c r="R300" s="250"/>
      <c r="S300" s="250"/>
      <c r="T300" s="250"/>
      <c r="U300" s="250"/>
      <c r="V300" s="250"/>
    </row>
    <row r="301" spans="1:22" ht="15.75" thickBot="1" x14ac:dyDescent="0.25">
      <c r="A301" s="4" t="s">
        <v>403</v>
      </c>
      <c r="B301" s="4"/>
      <c r="C301" s="4"/>
      <c r="D301" s="251">
        <v>0</v>
      </c>
      <c r="E301" s="251">
        <v>0</v>
      </c>
      <c r="F301" s="251">
        <v>0</v>
      </c>
      <c r="G301" s="251">
        <v>0</v>
      </c>
      <c r="H301" s="251">
        <v>0</v>
      </c>
      <c r="I301" s="251">
        <v>0</v>
      </c>
      <c r="J301" s="251">
        <v>0</v>
      </c>
      <c r="K301" s="251">
        <v>0</v>
      </c>
      <c r="L301" s="251">
        <v>0</v>
      </c>
      <c r="M301" s="251">
        <v>15391</v>
      </c>
      <c r="N301" s="251">
        <v>35941</v>
      </c>
      <c r="O301" s="251">
        <v>57565</v>
      </c>
      <c r="P301" s="251">
        <v>80273</v>
      </c>
      <c r="Q301" s="251">
        <v>104038</v>
      </c>
      <c r="R301" s="251">
        <v>128911</v>
      </c>
      <c r="S301" s="251">
        <v>154901</v>
      </c>
      <c r="T301" s="251">
        <v>182021</v>
      </c>
      <c r="U301" s="251">
        <v>210281</v>
      </c>
      <c r="V301" s="251">
        <v>239645</v>
      </c>
    </row>
    <row r="302" spans="1:22" ht="15.75" thickTop="1" x14ac:dyDescent="0.2">
      <c r="A302" s="4"/>
      <c r="B302" s="4"/>
      <c r="C302" s="4"/>
      <c r="D302" s="252"/>
      <c r="E302" s="252"/>
      <c r="F302" s="252"/>
      <c r="G302" s="252"/>
      <c r="H302" s="252"/>
      <c r="I302" s="252"/>
      <c r="J302" s="252"/>
      <c r="K302" s="252"/>
      <c r="L302" s="252"/>
      <c r="M302" s="252"/>
      <c r="N302" s="252"/>
      <c r="O302" s="252"/>
      <c r="P302" s="252"/>
      <c r="Q302" s="252"/>
      <c r="R302" s="252"/>
      <c r="S302" s="252"/>
      <c r="T302" s="252"/>
      <c r="U302" s="252"/>
      <c r="V302" s="252"/>
    </row>
    <row r="303" spans="1:22" x14ac:dyDescent="0.2">
      <c r="A303" s="4" t="s">
        <v>404</v>
      </c>
      <c r="B303" s="4"/>
      <c r="C303" s="4" t="s">
        <v>397</v>
      </c>
      <c r="D303" s="253" t="s">
        <v>405</v>
      </c>
      <c r="E303" s="253" t="s">
        <v>405</v>
      </c>
      <c r="F303" s="253" t="s">
        <v>405</v>
      </c>
      <c r="G303" s="253">
        <v>1.8829944921753921</v>
      </c>
      <c r="H303" s="253">
        <v>1.2970363982694992</v>
      </c>
      <c r="I303" s="253">
        <v>1.3162468904236972</v>
      </c>
      <c r="J303" s="253">
        <v>1.3356328964693229</v>
      </c>
      <c r="K303" s="253">
        <v>1.3551990526223763</v>
      </c>
      <c r="L303" s="253">
        <v>1.3749420473000002</v>
      </c>
      <c r="M303" s="253">
        <v>1.3948572442861948</v>
      </c>
      <c r="N303" s="253">
        <v>1.414945968214103</v>
      </c>
      <c r="O303" s="253">
        <v>1.4352002712848677</v>
      </c>
      <c r="P303" s="253">
        <v>1.4556188288653458</v>
      </c>
      <c r="Q303" s="253">
        <v>1.4761976670561088</v>
      </c>
      <c r="R303" s="253">
        <v>1.4969314873245854</v>
      </c>
      <c r="S303" s="253">
        <v>1.5178169780879185</v>
      </c>
      <c r="T303" s="253">
        <v>1.5388488408135368</v>
      </c>
      <c r="U303" s="253">
        <v>1.5600197900191541</v>
      </c>
      <c r="V303" s="253">
        <v>1.5813271764384853</v>
      </c>
    </row>
    <row r="304" spans="1:22" x14ac:dyDescent="0.2">
      <c r="A304" s="4" t="s">
        <v>404</v>
      </c>
      <c r="B304" s="4"/>
      <c r="C304" s="4" t="s">
        <v>406</v>
      </c>
      <c r="D304" s="253" t="s">
        <v>405</v>
      </c>
      <c r="E304" s="253" t="s">
        <v>405</v>
      </c>
      <c r="F304" s="253" t="s">
        <v>405</v>
      </c>
      <c r="G304" s="253">
        <v>1.8829944921753921</v>
      </c>
      <c r="H304" s="253">
        <v>1.2970363982694992</v>
      </c>
      <c r="I304" s="253">
        <v>1.3162468904236972</v>
      </c>
      <c r="J304" s="253">
        <v>1.3356328964693229</v>
      </c>
      <c r="K304" s="253">
        <v>1.3551990526223763</v>
      </c>
      <c r="L304" s="253">
        <v>1.3749420473000002</v>
      </c>
      <c r="M304" s="253">
        <v>1.3948572442861948</v>
      </c>
      <c r="N304" s="253">
        <v>1.414945968214103</v>
      </c>
      <c r="O304" s="253">
        <v>1.4352002712848677</v>
      </c>
      <c r="P304" s="253">
        <v>1.4556188288653458</v>
      </c>
      <c r="Q304" s="253">
        <v>1.4761976670561088</v>
      </c>
      <c r="R304" s="253">
        <v>1.4969314873245854</v>
      </c>
      <c r="S304" s="253">
        <v>1.5178169780879185</v>
      </c>
      <c r="T304" s="253">
        <v>1.5388488408135368</v>
      </c>
      <c r="U304" s="253">
        <v>1.5600197900191541</v>
      </c>
      <c r="V304" s="253">
        <v>1.5813271764384853</v>
      </c>
    </row>
    <row r="305" spans="1:22" x14ac:dyDescent="0.2">
      <c r="D305" s="244"/>
      <c r="E305" s="244"/>
      <c r="F305" s="244"/>
      <c r="G305" s="244"/>
      <c r="H305" s="244"/>
      <c r="I305" s="244"/>
      <c r="J305" s="244"/>
      <c r="K305" s="244"/>
      <c r="L305" s="244"/>
      <c r="M305" s="244"/>
      <c r="N305" s="244"/>
      <c r="O305" s="244"/>
      <c r="P305" s="244"/>
      <c r="Q305" s="244"/>
      <c r="R305" s="244"/>
      <c r="S305" s="244"/>
      <c r="T305" s="244"/>
      <c r="U305" s="244"/>
      <c r="V305" s="244"/>
    </row>
    <row r="306" spans="1:22" x14ac:dyDescent="0.2">
      <c r="A306" s="4" t="s">
        <v>120</v>
      </c>
      <c r="B306" s="4"/>
      <c r="C306" s="4"/>
      <c r="D306" s="253" t="s">
        <v>405</v>
      </c>
      <c r="E306" s="253" t="s">
        <v>405</v>
      </c>
      <c r="F306" s="253">
        <v>1.2331653740769981</v>
      </c>
      <c r="G306" s="253">
        <v>1.4062490001398662</v>
      </c>
      <c r="H306" s="253">
        <v>1.1640478257164</v>
      </c>
      <c r="I306" s="253">
        <v>1.1724716361626735</v>
      </c>
      <c r="J306" s="253">
        <v>1.1807170825992996</v>
      </c>
      <c r="K306" s="253">
        <v>1.1887830820440324</v>
      </c>
      <c r="L306" s="253">
        <v>1.1966640137096849</v>
      </c>
      <c r="M306" s="253">
        <v>1.2043537814169738</v>
      </c>
      <c r="N306" s="253">
        <v>1.2118500814759885</v>
      </c>
      <c r="O306" s="253">
        <v>1.2191456266125225</v>
      </c>
      <c r="P306" s="253">
        <v>1.2262372113688706</v>
      </c>
      <c r="Q306" s="253">
        <v>1.233120527593955</v>
      </c>
      <c r="R306" s="253">
        <v>1.2397908178723329</v>
      </c>
      <c r="S306" s="253">
        <v>1.2462447244094488</v>
      </c>
      <c r="T306" s="253">
        <v>1.2524785244202967</v>
      </c>
      <c r="U306" s="253">
        <v>1.2584873446066884</v>
      </c>
      <c r="V306" s="253">
        <v>1.2642695717156365</v>
      </c>
    </row>
    <row r="307" spans="1:22" x14ac:dyDescent="0.2">
      <c r="A307" s="4"/>
      <c r="D307" s="244"/>
      <c r="E307" s="244"/>
      <c r="F307" s="244"/>
      <c r="G307" s="244"/>
      <c r="H307" s="244"/>
      <c r="I307" s="244"/>
      <c r="J307" s="244"/>
      <c r="K307" s="244"/>
      <c r="L307" s="244"/>
      <c r="M307" s="244"/>
      <c r="N307" s="244"/>
      <c r="O307" s="244"/>
      <c r="P307" s="244"/>
      <c r="Q307" s="244"/>
      <c r="R307" s="244"/>
      <c r="S307" s="244"/>
      <c r="T307" s="244"/>
      <c r="U307" s="244"/>
      <c r="V307" s="244"/>
    </row>
    <row r="308" spans="1:22" x14ac:dyDescent="0.2">
      <c r="A308" s="4" t="s">
        <v>407</v>
      </c>
      <c r="B308" s="4"/>
      <c r="C308" s="254">
        <v>1.1499999999999999</v>
      </c>
      <c r="D308" s="235">
        <v>0</v>
      </c>
      <c r="E308" s="235">
        <v>0</v>
      </c>
      <c r="F308" s="235">
        <v>0</v>
      </c>
      <c r="G308" s="235">
        <v>0</v>
      </c>
      <c r="H308" s="235">
        <v>0</v>
      </c>
      <c r="I308" s="235">
        <v>0</v>
      </c>
      <c r="J308" s="235">
        <v>0</v>
      </c>
      <c r="K308" s="235">
        <v>0</v>
      </c>
      <c r="L308" s="235">
        <v>0</v>
      </c>
      <c r="M308" s="235">
        <v>0</v>
      </c>
      <c r="N308" s="235">
        <v>0</v>
      </c>
      <c r="O308" s="235">
        <v>0</v>
      </c>
      <c r="P308" s="235">
        <v>0</v>
      </c>
      <c r="Q308" s="235">
        <v>0</v>
      </c>
      <c r="R308" s="235">
        <v>0</v>
      </c>
      <c r="S308" s="235">
        <v>0</v>
      </c>
      <c r="T308" s="235">
        <v>0</v>
      </c>
      <c r="U308" s="235">
        <v>0</v>
      </c>
      <c r="V308" s="235">
        <v>0</v>
      </c>
    </row>
    <row r="309" spans="1:22" x14ac:dyDescent="0.2">
      <c r="A309" s="4"/>
      <c r="B309" s="4" t="s">
        <v>408</v>
      </c>
      <c r="C309" s="4"/>
      <c r="D309" s="235">
        <v>0</v>
      </c>
      <c r="E309" s="235">
        <v>0</v>
      </c>
      <c r="F309" s="235">
        <v>0</v>
      </c>
      <c r="G309" s="235">
        <v>0</v>
      </c>
      <c r="H309" s="235">
        <v>0</v>
      </c>
      <c r="I309" s="235">
        <v>0</v>
      </c>
      <c r="J309" s="235">
        <v>0</v>
      </c>
      <c r="K309" s="235">
        <v>0</v>
      </c>
      <c r="L309" s="235">
        <v>0</v>
      </c>
      <c r="M309" s="235">
        <v>0</v>
      </c>
      <c r="N309" s="235">
        <v>0</v>
      </c>
      <c r="O309" s="235">
        <v>0</v>
      </c>
      <c r="P309" s="235">
        <v>0</v>
      </c>
      <c r="Q309" s="235">
        <v>0</v>
      </c>
      <c r="R309" s="235">
        <v>0</v>
      </c>
      <c r="S309" s="235">
        <v>0</v>
      </c>
      <c r="T309" s="235">
        <v>0</v>
      </c>
      <c r="U309" s="235">
        <v>0</v>
      </c>
      <c r="V309" s="235">
        <v>0</v>
      </c>
    </row>
    <row r="310" spans="1:22" x14ac:dyDescent="0.2">
      <c r="A310" s="4"/>
      <c r="B310" s="4"/>
      <c r="C310" s="4"/>
      <c r="D310" s="235"/>
      <c r="E310" s="235"/>
      <c r="F310" s="235"/>
      <c r="G310" s="235"/>
      <c r="H310" s="235"/>
      <c r="I310" s="235"/>
      <c r="J310" s="235"/>
      <c r="K310" s="235"/>
      <c r="L310" s="235"/>
      <c r="M310" s="235"/>
      <c r="N310" s="235"/>
      <c r="O310" s="235"/>
      <c r="P310" s="235"/>
      <c r="Q310" s="235"/>
      <c r="R310" s="235"/>
      <c r="S310" s="235"/>
      <c r="T310" s="235"/>
      <c r="U310" s="235"/>
      <c r="V310" s="235"/>
    </row>
    <row r="311" spans="1:22" x14ac:dyDescent="0.2">
      <c r="A311" s="4" t="s">
        <v>407</v>
      </c>
      <c r="B311" s="4"/>
      <c r="C311" s="254">
        <v>1</v>
      </c>
      <c r="D311" s="235">
        <v>0</v>
      </c>
      <c r="E311" s="235">
        <v>0</v>
      </c>
      <c r="F311" s="235">
        <v>0</v>
      </c>
      <c r="G311" s="235">
        <v>0</v>
      </c>
      <c r="H311" s="235">
        <v>0</v>
      </c>
      <c r="I311" s="235">
        <v>0</v>
      </c>
      <c r="J311" s="235">
        <v>0</v>
      </c>
      <c r="K311" s="235">
        <v>0</v>
      </c>
      <c r="L311" s="235">
        <v>0</v>
      </c>
      <c r="M311" s="235">
        <v>0</v>
      </c>
      <c r="N311" s="235">
        <v>0</v>
      </c>
      <c r="O311" s="235">
        <v>0</v>
      </c>
      <c r="P311" s="235">
        <v>0</v>
      </c>
      <c r="Q311" s="235">
        <v>0</v>
      </c>
      <c r="R311" s="235">
        <v>0</v>
      </c>
      <c r="S311" s="235">
        <v>0</v>
      </c>
      <c r="T311" s="235">
        <v>0</v>
      </c>
      <c r="U311" s="235">
        <v>0</v>
      </c>
      <c r="V311" s="235">
        <v>0</v>
      </c>
    </row>
    <row r="312" spans="1:22" x14ac:dyDescent="0.2">
      <c r="A312" s="4"/>
      <c r="B312" s="4" t="s">
        <v>408</v>
      </c>
      <c r="C312" s="4"/>
      <c r="D312" s="235">
        <v>0</v>
      </c>
      <c r="E312" s="235">
        <v>0</v>
      </c>
      <c r="F312" s="235">
        <v>0</v>
      </c>
      <c r="G312" s="235">
        <v>0</v>
      </c>
      <c r="H312" s="235">
        <v>0</v>
      </c>
      <c r="I312" s="235">
        <v>0</v>
      </c>
      <c r="J312" s="235">
        <v>0</v>
      </c>
      <c r="K312" s="235">
        <v>0</v>
      </c>
      <c r="L312" s="235">
        <v>0</v>
      </c>
      <c r="M312" s="235">
        <v>0</v>
      </c>
      <c r="N312" s="235">
        <v>0</v>
      </c>
      <c r="O312" s="235">
        <v>0</v>
      </c>
      <c r="P312" s="235">
        <v>0</v>
      </c>
      <c r="Q312" s="235">
        <v>0</v>
      </c>
      <c r="R312" s="235">
        <v>0</v>
      </c>
      <c r="S312" s="235">
        <v>0</v>
      </c>
      <c r="T312" s="235">
        <v>0</v>
      </c>
      <c r="U312" s="235">
        <v>0</v>
      </c>
      <c r="V312" s="235">
        <v>0</v>
      </c>
    </row>
    <row r="313" spans="1:22" x14ac:dyDescent="0.2">
      <c r="A313" s="4"/>
      <c r="B313" s="4"/>
      <c r="C313" s="4"/>
      <c r="D313" s="235"/>
      <c r="E313" s="235"/>
      <c r="F313" s="235"/>
      <c r="G313" s="235"/>
      <c r="H313" s="235"/>
      <c r="I313" s="235"/>
      <c r="J313" s="235"/>
      <c r="K313" s="235"/>
      <c r="L313" s="235"/>
      <c r="M313" s="235"/>
      <c r="N313" s="235"/>
      <c r="O313" s="235"/>
      <c r="P313" s="235"/>
      <c r="Q313" s="235"/>
      <c r="R313" s="235"/>
      <c r="S313" s="235"/>
      <c r="T313" s="235"/>
      <c r="U313" s="235"/>
      <c r="V313" s="235"/>
    </row>
    <row r="314" spans="1:22" x14ac:dyDescent="0.2">
      <c r="A314" s="4" t="s">
        <v>409</v>
      </c>
      <c r="B314" s="4"/>
      <c r="C314" s="254">
        <v>1.05</v>
      </c>
      <c r="D314" s="235">
        <v>0</v>
      </c>
      <c r="E314" s="235">
        <v>0</v>
      </c>
      <c r="F314" s="235">
        <v>0</v>
      </c>
      <c r="G314" s="235">
        <v>0</v>
      </c>
      <c r="H314" s="235">
        <v>0</v>
      </c>
      <c r="I314" s="235">
        <v>0</v>
      </c>
      <c r="J314" s="235">
        <v>0</v>
      </c>
      <c r="K314" s="235">
        <v>0</v>
      </c>
      <c r="L314" s="235">
        <v>0</v>
      </c>
      <c r="M314" s="235">
        <v>0</v>
      </c>
      <c r="N314" s="235">
        <v>0</v>
      </c>
      <c r="O314" s="235">
        <v>0</v>
      </c>
      <c r="P314" s="235">
        <v>0</v>
      </c>
      <c r="Q314" s="235">
        <v>0</v>
      </c>
      <c r="R314" s="235">
        <v>0</v>
      </c>
      <c r="S314" s="235">
        <v>0</v>
      </c>
      <c r="T314" s="235">
        <v>0</v>
      </c>
      <c r="U314" s="235">
        <v>0</v>
      </c>
      <c r="V314" s="235">
        <v>0</v>
      </c>
    </row>
    <row r="315" spans="1:22" x14ac:dyDescent="0.2">
      <c r="A315" s="4"/>
      <c r="B315" s="4" t="s">
        <v>408</v>
      </c>
      <c r="C315" s="4"/>
      <c r="D315" s="235">
        <v>0</v>
      </c>
      <c r="E315" s="235">
        <v>0</v>
      </c>
      <c r="F315" s="235">
        <v>0</v>
      </c>
      <c r="G315" s="235">
        <v>0</v>
      </c>
      <c r="H315" s="235">
        <v>0</v>
      </c>
      <c r="I315" s="235">
        <v>0</v>
      </c>
      <c r="J315" s="235">
        <v>0</v>
      </c>
      <c r="K315" s="235">
        <v>0</v>
      </c>
      <c r="L315" s="235">
        <v>0</v>
      </c>
      <c r="M315" s="235">
        <v>0</v>
      </c>
      <c r="N315" s="235">
        <v>0</v>
      </c>
      <c r="O315" s="235">
        <v>0</v>
      </c>
      <c r="P315" s="235">
        <v>0</v>
      </c>
      <c r="Q315" s="235">
        <v>0</v>
      </c>
      <c r="R315" s="235">
        <v>0</v>
      </c>
      <c r="S315" s="235">
        <v>0</v>
      </c>
      <c r="T315" s="235">
        <v>0</v>
      </c>
      <c r="U315" s="235">
        <v>0</v>
      </c>
      <c r="V315" s="235">
        <v>0</v>
      </c>
    </row>
    <row r="316" spans="1:22" x14ac:dyDescent="0.2">
      <c r="A316" s="4"/>
      <c r="B316" s="4"/>
      <c r="C316" s="4"/>
      <c r="D316" s="235"/>
      <c r="E316" s="235"/>
      <c r="F316" s="235"/>
      <c r="G316" s="235"/>
      <c r="H316" s="235"/>
      <c r="I316" s="235"/>
      <c r="J316" s="235"/>
      <c r="K316" s="235"/>
      <c r="L316" s="235"/>
      <c r="M316" s="235"/>
      <c r="N316" s="235"/>
      <c r="O316" s="235"/>
      <c r="P316" s="235"/>
      <c r="Q316" s="235"/>
      <c r="R316" s="235"/>
      <c r="S316" s="235"/>
      <c r="T316" s="235"/>
      <c r="U316" s="235"/>
      <c r="V316" s="235"/>
    </row>
    <row r="317" spans="1:22" x14ac:dyDescent="0.2">
      <c r="A317" s="4" t="s">
        <v>409</v>
      </c>
      <c r="B317" s="4"/>
      <c r="C317" s="254">
        <v>1</v>
      </c>
      <c r="D317" s="235">
        <v>0</v>
      </c>
      <c r="E317" s="235">
        <v>0</v>
      </c>
      <c r="F317" s="235">
        <v>0</v>
      </c>
      <c r="G317" s="235">
        <v>0</v>
      </c>
      <c r="H317" s="235">
        <v>0</v>
      </c>
      <c r="I317" s="235">
        <v>0</v>
      </c>
      <c r="J317" s="235">
        <v>0</v>
      </c>
      <c r="K317" s="235">
        <v>0</v>
      </c>
      <c r="L317" s="235">
        <v>0</v>
      </c>
      <c r="M317" s="235">
        <v>0</v>
      </c>
      <c r="N317" s="235">
        <v>0</v>
      </c>
      <c r="O317" s="235">
        <v>0</v>
      </c>
      <c r="P317" s="235">
        <v>0</v>
      </c>
      <c r="Q317" s="235">
        <v>0</v>
      </c>
      <c r="R317" s="235">
        <v>0</v>
      </c>
      <c r="S317" s="235">
        <v>0</v>
      </c>
      <c r="T317" s="235">
        <v>0</v>
      </c>
      <c r="U317" s="235">
        <v>0</v>
      </c>
      <c r="V317" s="235">
        <v>0</v>
      </c>
    </row>
    <row r="318" spans="1:22" x14ac:dyDescent="0.2">
      <c r="A318" s="4"/>
      <c r="B318" s="4" t="s">
        <v>408</v>
      </c>
      <c r="C318" s="4"/>
      <c r="D318" s="235">
        <v>0</v>
      </c>
      <c r="E318" s="235">
        <v>0</v>
      </c>
      <c r="F318" s="235">
        <v>0</v>
      </c>
      <c r="G318" s="235">
        <v>0</v>
      </c>
      <c r="H318" s="235">
        <v>0</v>
      </c>
      <c r="I318" s="235">
        <v>0</v>
      </c>
      <c r="J318" s="235">
        <v>0</v>
      </c>
      <c r="K318" s="235">
        <v>0</v>
      </c>
      <c r="L318" s="235">
        <v>0</v>
      </c>
      <c r="M318" s="235">
        <v>0</v>
      </c>
      <c r="N318" s="235">
        <v>0</v>
      </c>
      <c r="O318" s="235">
        <v>0</v>
      </c>
      <c r="P318" s="235">
        <v>0</v>
      </c>
      <c r="Q318" s="235">
        <v>0</v>
      </c>
      <c r="R318" s="235">
        <v>0</v>
      </c>
      <c r="S318" s="235">
        <v>0</v>
      </c>
      <c r="T318" s="235">
        <v>0</v>
      </c>
      <c r="U318" s="235">
        <v>0</v>
      </c>
      <c r="V318" s="235">
        <v>0</v>
      </c>
    </row>
    <row r="319" spans="1:22" x14ac:dyDescent="0.2">
      <c r="D319" s="244"/>
      <c r="E319" s="244"/>
      <c r="F319" s="244"/>
      <c r="G319" s="244"/>
      <c r="H319" s="244"/>
      <c r="I319" s="244"/>
      <c r="J319" s="244"/>
      <c r="K319" s="244"/>
      <c r="L319" s="244"/>
      <c r="M319" s="244"/>
      <c r="N319" s="244"/>
      <c r="O319" s="244"/>
      <c r="P319" s="244"/>
      <c r="Q319" s="244"/>
      <c r="R319" s="244"/>
      <c r="S319" s="244"/>
      <c r="T319" s="244"/>
      <c r="U319" s="244"/>
      <c r="V319" s="244"/>
    </row>
    <row r="320" spans="1:22" ht="15.75" thickBot="1" x14ac:dyDescent="0.25">
      <c r="A320" s="255"/>
      <c r="B320" s="255"/>
      <c r="C320" s="255"/>
      <c r="D320" s="256"/>
      <c r="E320" s="256"/>
      <c r="F320" s="256"/>
      <c r="G320" s="256"/>
      <c r="H320" s="256"/>
      <c r="I320" s="256"/>
      <c r="J320" s="256"/>
      <c r="K320" s="256"/>
      <c r="L320" s="256"/>
      <c r="M320" s="256"/>
      <c r="N320" s="256"/>
      <c r="O320" s="256"/>
      <c r="P320" s="256"/>
      <c r="Q320" s="256"/>
      <c r="R320" s="256"/>
      <c r="S320" s="256"/>
      <c r="T320" s="256"/>
      <c r="U320" s="256"/>
      <c r="V320" s="256"/>
    </row>
    <row r="321" spans="1:22" ht="15.75" thickTop="1" x14ac:dyDescent="0.2">
      <c r="A321" s="4" t="s">
        <v>410</v>
      </c>
      <c r="B321" s="4"/>
      <c r="C321" s="4" t="s">
        <v>397</v>
      </c>
      <c r="D321" s="235">
        <v>0</v>
      </c>
      <c r="E321" s="235">
        <v>0</v>
      </c>
      <c r="F321" s="235">
        <v>0</v>
      </c>
      <c r="G321" s="235">
        <v>1006568</v>
      </c>
      <c r="H321" s="235">
        <v>1509852</v>
      </c>
      <c r="I321" s="235">
        <v>1509852</v>
      </c>
      <c r="J321" s="235">
        <v>1509852</v>
      </c>
      <c r="K321" s="235">
        <v>1509852</v>
      </c>
      <c r="L321" s="235">
        <v>1509852</v>
      </c>
      <c r="M321" s="235">
        <v>1509852</v>
      </c>
      <c r="N321" s="235">
        <v>1509852</v>
      </c>
      <c r="O321" s="235">
        <v>1509852</v>
      </c>
      <c r="P321" s="235">
        <v>1509852</v>
      </c>
      <c r="Q321" s="235">
        <v>1509852</v>
      </c>
      <c r="R321" s="235">
        <v>1509852</v>
      </c>
      <c r="S321" s="235">
        <v>1509852</v>
      </c>
      <c r="T321" s="235">
        <v>1509852</v>
      </c>
      <c r="U321" s="235">
        <v>1509852</v>
      </c>
      <c r="V321" s="235">
        <v>1509852</v>
      </c>
    </row>
    <row r="322" spans="1:22" x14ac:dyDescent="0.2">
      <c r="A322" s="4" t="s">
        <v>410</v>
      </c>
      <c r="B322" s="4"/>
      <c r="C322" s="4" t="s">
        <v>406</v>
      </c>
      <c r="D322" s="235">
        <v>0</v>
      </c>
      <c r="E322" s="235">
        <v>0</v>
      </c>
      <c r="F322" s="235">
        <v>0</v>
      </c>
      <c r="G322" s="235">
        <v>1006568</v>
      </c>
      <c r="H322" s="235">
        <v>1509852</v>
      </c>
      <c r="I322" s="235">
        <v>1509852</v>
      </c>
      <c r="J322" s="235">
        <v>1509852</v>
      </c>
      <c r="K322" s="235">
        <v>1509852</v>
      </c>
      <c r="L322" s="235">
        <v>1509852</v>
      </c>
      <c r="M322" s="235">
        <v>1509852</v>
      </c>
      <c r="N322" s="235">
        <v>1509852</v>
      </c>
      <c r="O322" s="235">
        <v>1509852</v>
      </c>
      <c r="P322" s="235">
        <v>1509852</v>
      </c>
      <c r="Q322" s="235">
        <v>1509852</v>
      </c>
      <c r="R322" s="235">
        <v>1509852</v>
      </c>
      <c r="S322" s="235">
        <v>1509852</v>
      </c>
      <c r="T322" s="235">
        <v>1509852</v>
      </c>
      <c r="U322" s="235">
        <v>1509852</v>
      </c>
      <c r="V322" s="235">
        <v>1509852</v>
      </c>
    </row>
    <row r="323" spans="1:22" x14ac:dyDescent="0.2">
      <c r="D323" s="244"/>
      <c r="E323" s="244"/>
      <c r="F323" s="244"/>
      <c r="G323" s="244"/>
      <c r="H323" s="244"/>
      <c r="I323" s="244"/>
      <c r="J323" s="244"/>
      <c r="K323" s="244"/>
      <c r="L323" s="244"/>
      <c r="M323" s="244"/>
      <c r="N323" s="244"/>
      <c r="O323" s="244"/>
      <c r="P323" s="244"/>
      <c r="Q323" s="244"/>
      <c r="R323" s="244"/>
      <c r="S323" s="244"/>
      <c r="T323" s="244"/>
      <c r="U323" s="244"/>
      <c r="V323" s="244"/>
    </row>
    <row r="324" spans="1:22" x14ac:dyDescent="0.2">
      <c r="A324" s="4"/>
      <c r="B324" s="4"/>
      <c r="C324" s="4" t="s">
        <v>411</v>
      </c>
      <c r="D324" s="235">
        <v>0</v>
      </c>
      <c r="E324" s="235">
        <v>0</v>
      </c>
      <c r="F324" s="235">
        <v>0</v>
      </c>
      <c r="G324" s="235">
        <v>0</v>
      </c>
      <c r="H324" s="235">
        <v>0</v>
      </c>
      <c r="I324" s="235">
        <v>0</v>
      </c>
      <c r="J324" s="235">
        <v>0</v>
      </c>
      <c r="K324" s="235">
        <v>0</v>
      </c>
      <c r="L324" s="235">
        <v>0</v>
      </c>
      <c r="M324" s="235">
        <v>0</v>
      </c>
      <c r="N324" s="235">
        <v>0</v>
      </c>
      <c r="O324" s="235">
        <v>0</v>
      </c>
      <c r="P324" s="235">
        <v>0</v>
      </c>
      <c r="Q324" s="235">
        <v>0</v>
      </c>
      <c r="R324" s="235">
        <v>0</v>
      </c>
      <c r="S324" s="235">
        <v>0</v>
      </c>
      <c r="T324" s="235">
        <v>0</v>
      </c>
      <c r="U324" s="235">
        <v>0</v>
      </c>
      <c r="V324" s="235">
        <v>0</v>
      </c>
    </row>
    <row r="325" spans="1:22" x14ac:dyDescent="0.2">
      <c r="A325" s="4"/>
      <c r="C325" s="4" t="s">
        <v>412</v>
      </c>
      <c r="D325" s="235">
        <v>0</v>
      </c>
      <c r="E325" s="235">
        <v>0</v>
      </c>
      <c r="F325" s="235">
        <v>0</v>
      </c>
      <c r="G325" s="235">
        <v>0</v>
      </c>
      <c r="H325" s="235">
        <v>0</v>
      </c>
      <c r="I325" s="235">
        <v>0</v>
      </c>
      <c r="J325" s="235">
        <v>0</v>
      </c>
      <c r="K325" s="235">
        <v>0</v>
      </c>
      <c r="L325" s="235">
        <v>0</v>
      </c>
      <c r="M325" s="235">
        <v>0</v>
      </c>
      <c r="N325" s="235">
        <v>0</v>
      </c>
      <c r="O325" s="235">
        <v>0</v>
      </c>
      <c r="P325" s="235">
        <v>0</v>
      </c>
      <c r="Q325" s="235">
        <v>0</v>
      </c>
      <c r="R325" s="235">
        <v>0</v>
      </c>
      <c r="S325" s="235">
        <v>0</v>
      </c>
      <c r="T325" s="235">
        <v>0</v>
      </c>
      <c r="U325" s="235">
        <v>0</v>
      </c>
      <c r="V325" s="235">
        <v>0</v>
      </c>
    </row>
    <row r="326" spans="1:22" x14ac:dyDescent="0.2">
      <c r="D326" s="244"/>
      <c r="E326" s="244"/>
      <c r="F326" s="244"/>
      <c r="G326" s="244"/>
      <c r="H326" s="244"/>
      <c r="I326" s="244"/>
      <c r="J326" s="244"/>
      <c r="K326" s="244"/>
      <c r="L326" s="244"/>
      <c r="M326" s="244"/>
      <c r="N326" s="244"/>
      <c r="O326" s="244"/>
      <c r="P326" s="244"/>
      <c r="Q326" s="244"/>
      <c r="R326" s="244"/>
      <c r="S326" s="244"/>
      <c r="T326" s="244"/>
      <c r="U326" s="244"/>
      <c r="V326" s="244"/>
    </row>
    <row r="327" spans="1:22" x14ac:dyDescent="0.2">
      <c r="A327" s="4" t="s">
        <v>413</v>
      </c>
      <c r="B327" s="4"/>
      <c r="C327" s="4"/>
      <c r="D327" s="235">
        <v>0</v>
      </c>
      <c r="E327" s="235">
        <v>0</v>
      </c>
      <c r="F327" s="235">
        <v>60249</v>
      </c>
      <c r="G327" s="235">
        <v>888794</v>
      </c>
      <c r="H327" s="235">
        <v>448481</v>
      </c>
      <c r="I327" s="235">
        <v>477486</v>
      </c>
      <c r="J327" s="235">
        <v>506756</v>
      </c>
      <c r="K327" s="235">
        <v>536298</v>
      </c>
      <c r="L327" s="235">
        <v>566107</v>
      </c>
      <c r="M327" s="235">
        <v>596176</v>
      </c>
      <c r="N327" s="235">
        <v>626507</v>
      </c>
      <c r="O327" s="235">
        <v>657088</v>
      </c>
      <c r="P327" s="235">
        <v>687917</v>
      </c>
      <c r="Q327" s="235">
        <v>718988</v>
      </c>
      <c r="R327" s="235">
        <v>750293</v>
      </c>
      <c r="S327" s="235">
        <v>781827</v>
      </c>
      <c r="T327" s="235">
        <v>813582</v>
      </c>
      <c r="U327" s="235">
        <v>845547</v>
      </c>
      <c r="V327" s="235">
        <v>877718</v>
      </c>
    </row>
    <row r="328" spans="1:22" x14ac:dyDescent="0.2">
      <c r="A328" s="4"/>
      <c r="B328" s="4" t="s">
        <v>414</v>
      </c>
      <c r="C328" s="135">
        <v>97</v>
      </c>
      <c r="D328" s="235">
        <v>0</v>
      </c>
      <c r="E328" s="235">
        <v>0</v>
      </c>
      <c r="F328" s="235">
        <v>621</v>
      </c>
      <c r="G328" s="235">
        <v>9163</v>
      </c>
      <c r="H328" s="235">
        <v>4624</v>
      </c>
      <c r="I328" s="235">
        <v>4923</v>
      </c>
      <c r="J328" s="235">
        <v>5224</v>
      </c>
      <c r="K328" s="235">
        <v>5529</v>
      </c>
      <c r="L328" s="235">
        <v>5836</v>
      </c>
      <c r="M328" s="235">
        <v>6146</v>
      </c>
      <c r="N328" s="235">
        <v>6459</v>
      </c>
      <c r="O328" s="235">
        <v>6774</v>
      </c>
      <c r="P328" s="235">
        <v>7092</v>
      </c>
      <c r="Q328" s="235">
        <v>7412</v>
      </c>
      <c r="R328" s="235">
        <v>7735</v>
      </c>
      <c r="S328" s="235">
        <v>8060</v>
      </c>
      <c r="T328" s="235">
        <v>8387</v>
      </c>
      <c r="U328" s="235">
        <v>8717</v>
      </c>
      <c r="V328" s="235">
        <v>9049</v>
      </c>
    </row>
    <row r="331" spans="1:22" x14ac:dyDescent="0.2">
      <c r="B331" s="4" t="s">
        <v>415</v>
      </c>
      <c r="D331" s="235">
        <v>0</v>
      </c>
      <c r="E331" s="235">
        <v>0</v>
      </c>
      <c r="F331" s="235">
        <v>0</v>
      </c>
      <c r="G331" s="235">
        <v>0</v>
      </c>
      <c r="H331" s="235">
        <v>0</v>
      </c>
    </row>
    <row r="334" spans="1:22" x14ac:dyDescent="0.2">
      <c r="A334" s="4" t="s">
        <v>416</v>
      </c>
      <c r="B334" s="4"/>
      <c r="C334" s="4"/>
      <c r="D334" s="257" t="s">
        <v>405</v>
      </c>
      <c r="E334" s="257" t="s">
        <v>405</v>
      </c>
      <c r="F334" s="257">
        <v>1.2331653740769981</v>
      </c>
      <c r="G334" s="257">
        <v>2.6045555595062129</v>
      </c>
      <c r="H334" s="257">
        <v>2.5999570258278042</v>
      </c>
      <c r="I334" s="257">
        <v>2.5789591606164759</v>
      </c>
      <c r="J334" s="257">
        <v>2.5580828996328484</v>
      </c>
      <c r="K334" s="257">
        <v>2.5373443609293713</v>
      </c>
      <c r="L334" s="257">
        <v>2.5167411048610466</v>
      </c>
      <c r="M334" s="257">
        <v>2.4962686143003299</v>
      </c>
      <c r="N334" s="257">
        <v>2.4759354483471401</v>
      </c>
      <c r="O334" s="257">
        <v>2.4557329384987869</v>
      </c>
      <c r="P334" s="257">
        <v>2.4356649336278129</v>
      </c>
      <c r="Q334" s="257">
        <v>2.4157315646322455</v>
      </c>
      <c r="R334" s="257">
        <v>2.3959301980858454</v>
      </c>
      <c r="S334" s="257">
        <v>2.376261449432723</v>
      </c>
      <c r="T334" s="257">
        <v>2.3567268057942377</v>
      </c>
      <c r="U334" s="257">
        <v>2.3373200104696408</v>
      </c>
      <c r="V334" s="257">
        <v>2.3180464667453515</v>
      </c>
    </row>
    <row r="335" spans="1:22" s="132" customFormat="1" x14ac:dyDescent="0.2"/>
    <row r="336" spans="1:22" ht="18.75" thickBot="1" x14ac:dyDescent="0.3">
      <c r="A336" s="544" t="s">
        <v>417</v>
      </c>
      <c r="B336" s="553"/>
      <c r="C336" s="553"/>
      <c r="D336" s="553"/>
      <c r="E336" s="553"/>
      <c r="F336" s="553"/>
      <c r="G336" s="553"/>
      <c r="H336" s="2"/>
      <c r="I336" s="2"/>
      <c r="J336" s="2"/>
      <c r="K336" s="2"/>
      <c r="L336" s="2"/>
      <c r="M336" s="2"/>
      <c r="N336" s="2"/>
      <c r="O336" s="2"/>
      <c r="P336" s="2"/>
      <c r="Q336" s="2"/>
      <c r="R336" s="2"/>
      <c r="S336" s="2"/>
      <c r="T336" s="2"/>
      <c r="U336" s="2"/>
      <c r="V336" s="7" t="s">
        <v>69</v>
      </c>
    </row>
    <row r="337" spans="1:22" ht="15.75" x14ac:dyDescent="0.25">
      <c r="A337" s="545" t="s">
        <v>1135</v>
      </c>
      <c r="B337" s="547"/>
      <c r="C337" s="547"/>
      <c r="D337" s="547"/>
      <c r="E337" s="547"/>
      <c r="F337" s="547"/>
      <c r="G337" s="547"/>
      <c r="H337" s="11"/>
      <c r="I337" s="557"/>
      <c r="J337" s="557"/>
      <c r="K337" s="11"/>
      <c r="L337" s="12"/>
      <c r="M337" s="12"/>
      <c r="N337" s="13"/>
      <c r="O337" s="13"/>
      <c r="P337" s="13"/>
      <c r="Q337" s="13"/>
      <c r="R337" s="13" t="s">
        <v>71</v>
      </c>
      <c r="S337" s="14">
        <v>46210.286583449073</v>
      </c>
      <c r="T337" s="15">
        <v>46210.286583449073</v>
      </c>
      <c r="U337" s="13"/>
      <c r="V337" s="13" t="s">
        <v>418</v>
      </c>
    </row>
    <row r="338" spans="1:22" x14ac:dyDescent="0.2">
      <c r="A338" s="4"/>
      <c r="B338" s="4"/>
      <c r="C338" s="4"/>
      <c r="D338" s="4"/>
      <c r="E338" s="4"/>
      <c r="F338" s="4"/>
      <c r="G338" s="4"/>
      <c r="H338" s="4"/>
      <c r="I338" s="4"/>
      <c r="J338" s="4"/>
      <c r="K338" s="4"/>
      <c r="L338" s="4"/>
      <c r="M338" s="4"/>
      <c r="N338" s="4"/>
      <c r="O338" s="4"/>
      <c r="P338" s="4"/>
      <c r="Q338" s="4"/>
      <c r="R338" s="4"/>
      <c r="S338" s="4"/>
      <c r="T338" s="4"/>
      <c r="U338" s="4"/>
      <c r="V338" s="4"/>
    </row>
    <row r="339" spans="1:22" x14ac:dyDescent="0.2">
      <c r="A339" s="88"/>
      <c r="B339" s="88"/>
      <c r="C339" s="88"/>
      <c r="D339" s="227">
        <v>2026</v>
      </c>
      <c r="E339" s="227">
        <v>2027</v>
      </c>
      <c r="F339" s="227">
        <v>2028</v>
      </c>
      <c r="G339" s="227">
        <v>2029</v>
      </c>
      <c r="H339" s="227">
        <v>2030</v>
      </c>
      <c r="I339" s="227">
        <v>2031</v>
      </c>
      <c r="J339" s="227">
        <v>2032</v>
      </c>
      <c r="K339" s="227">
        <v>2033</v>
      </c>
      <c r="L339" s="227">
        <v>2034</v>
      </c>
      <c r="M339" s="227">
        <v>2035</v>
      </c>
      <c r="N339" s="227">
        <v>2036</v>
      </c>
      <c r="O339" s="227">
        <v>2037</v>
      </c>
      <c r="P339" s="227">
        <v>2038</v>
      </c>
      <c r="Q339" s="227">
        <v>2039</v>
      </c>
      <c r="R339" s="227">
        <v>2040</v>
      </c>
      <c r="S339" s="227">
        <v>2041</v>
      </c>
      <c r="T339" s="227">
        <v>2042</v>
      </c>
      <c r="U339" s="227">
        <v>2043</v>
      </c>
      <c r="V339" s="227">
        <v>2044</v>
      </c>
    </row>
    <row r="340" spans="1:22" x14ac:dyDescent="0.2">
      <c r="A340" s="4" t="s">
        <v>352</v>
      </c>
      <c r="B340" s="4"/>
      <c r="C340" s="4"/>
      <c r="D340" s="258">
        <v>0</v>
      </c>
      <c r="E340" s="258">
        <v>0</v>
      </c>
      <c r="F340" s="258">
        <v>73182</v>
      </c>
      <c r="G340" s="258">
        <v>1935326</v>
      </c>
      <c r="H340" s="258">
        <v>1999496</v>
      </c>
      <c r="I340" s="258">
        <v>2029736</v>
      </c>
      <c r="J340" s="258">
        <v>2060278</v>
      </c>
      <c r="K340" s="258">
        <v>2091130</v>
      </c>
      <c r="L340" s="258">
        <v>2122288</v>
      </c>
      <c r="M340" s="258">
        <v>2153747</v>
      </c>
      <c r="N340" s="258">
        <v>2185510</v>
      </c>
      <c r="O340" s="258">
        <v>2217566</v>
      </c>
      <c r="P340" s="258">
        <v>2249914</v>
      </c>
      <c r="Q340" s="258">
        <v>2282549</v>
      </c>
      <c r="R340" s="258">
        <v>2315465</v>
      </c>
      <c r="S340" s="258">
        <v>2348659</v>
      </c>
      <c r="T340" s="258">
        <v>2382123</v>
      </c>
      <c r="U340" s="258">
        <v>2415849</v>
      </c>
      <c r="V340" s="258">
        <v>2449834</v>
      </c>
    </row>
    <row r="341" spans="1:22" x14ac:dyDescent="0.2">
      <c r="A341" s="4"/>
      <c r="B341" s="4"/>
      <c r="C341" s="4"/>
      <c r="D341" s="135"/>
      <c r="E341" s="135"/>
      <c r="F341" s="135"/>
      <c r="G341" s="135"/>
      <c r="H341" s="135"/>
      <c r="I341" s="135"/>
      <c r="J341" s="135"/>
      <c r="K341" s="135"/>
      <c r="L341" s="135"/>
      <c r="M341" s="135"/>
      <c r="N341" s="135"/>
      <c r="O341" s="135"/>
      <c r="P341" s="135"/>
      <c r="Q341" s="135"/>
      <c r="R341" s="135"/>
      <c r="S341" s="135"/>
      <c r="T341" s="135"/>
      <c r="U341" s="135"/>
      <c r="V341" s="135"/>
    </row>
    <row r="342" spans="1:22" x14ac:dyDescent="0.2">
      <c r="A342" s="4" t="s">
        <v>419</v>
      </c>
      <c r="B342" s="4"/>
      <c r="C342" s="4"/>
      <c r="D342" s="135"/>
      <c r="E342" s="135"/>
      <c r="F342" s="135"/>
      <c r="G342" s="135"/>
      <c r="H342" s="135"/>
      <c r="I342" s="135"/>
      <c r="J342" s="135"/>
      <c r="K342" s="135"/>
      <c r="L342" s="135"/>
      <c r="M342" s="135"/>
      <c r="N342" s="135"/>
      <c r="O342" s="135"/>
      <c r="P342" s="135"/>
      <c r="Q342" s="135"/>
      <c r="R342" s="135"/>
      <c r="S342" s="135"/>
      <c r="T342" s="135"/>
      <c r="U342" s="135"/>
      <c r="V342" s="135"/>
    </row>
    <row r="343" spans="1:22" x14ac:dyDescent="0.2">
      <c r="B343" s="4" t="s">
        <v>392</v>
      </c>
      <c r="C343" s="4"/>
      <c r="D343" s="217">
        <v>0</v>
      </c>
      <c r="E343" s="217">
        <v>0</v>
      </c>
      <c r="F343" s="217">
        <v>0</v>
      </c>
      <c r="G343" s="217">
        <v>4785</v>
      </c>
      <c r="H343" s="217">
        <v>7345</v>
      </c>
      <c r="I343" s="217">
        <v>7551</v>
      </c>
      <c r="J343" s="217">
        <v>7763</v>
      </c>
      <c r="K343" s="217">
        <v>7982</v>
      </c>
      <c r="L343" s="217">
        <v>7306</v>
      </c>
      <c r="M343" s="217">
        <v>7538</v>
      </c>
      <c r="N343" s="217">
        <v>9338</v>
      </c>
      <c r="O343" s="217">
        <v>11671</v>
      </c>
      <c r="P343" s="217">
        <v>14119</v>
      </c>
      <c r="Q343" s="217">
        <v>15491</v>
      </c>
      <c r="R343" s="217">
        <v>18172</v>
      </c>
      <c r="S343" s="217">
        <v>20974</v>
      </c>
      <c r="T343" s="217">
        <v>23898</v>
      </c>
      <c r="U343" s="217">
        <v>26944</v>
      </c>
      <c r="V343" s="217">
        <v>28731</v>
      </c>
    </row>
    <row r="344" spans="1:22" x14ac:dyDescent="0.2">
      <c r="B344" s="4" t="s">
        <v>333</v>
      </c>
      <c r="C344" s="4"/>
      <c r="D344" s="217">
        <v>0</v>
      </c>
      <c r="E344" s="217">
        <v>0</v>
      </c>
      <c r="F344" s="217">
        <v>0</v>
      </c>
      <c r="G344" s="217">
        <v>0</v>
      </c>
      <c r="H344" s="217">
        <v>0</v>
      </c>
      <c r="I344" s="217">
        <v>0</v>
      </c>
      <c r="J344" s="217">
        <v>0</v>
      </c>
      <c r="K344" s="217">
        <v>0</v>
      </c>
      <c r="L344" s="217">
        <v>0</v>
      </c>
      <c r="M344" s="217">
        <v>0</v>
      </c>
      <c r="N344" s="217">
        <v>0</v>
      </c>
      <c r="O344" s="217">
        <v>0</v>
      </c>
      <c r="P344" s="217">
        <v>0</v>
      </c>
      <c r="Q344" s="217">
        <v>0</v>
      </c>
      <c r="R344" s="217">
        <v>0</v>
      </c>
      <c r="S344" s="217">
        <v>0</v>
      </c>
      <c r="T344" s="217">
        <v>0</v>
      </c>
      <c r="U344" s="217">
        <v>0</v>
      </c>
      <c r="V344" s="217">
        <v>0</v>
      </c>
    </row>
    <row r="345" spans="1:22" x14ac:dyDescent="0.2">
      <c r="B345" s="4" t="s">
        <v>420</v>
      </c>
      <c r="C345" s="4"/>
      <c r="D345" s="222">
        <v>0</v>
      </c>
      <c r="E345" s="222">
        <v>0</v>
      </c>
      <c r="F345" s="222">
        <v>0</v>
      </c>
      <c r="G345" s="222">
        <v>4785</v>
      </c>
      <c r="H345" s="222">
        <v>7345</v>
      </c>
      <c r="I345" s="222">
        <v>7551</v>
      </c>
      <c r="J345" s="222">
        <v>7763</v>
      </c>
      <c r="K345" s="222">
        <v>7982</v>
      </c>
      <c r="L345" s="222">
        <v>7306</v>
      </c>
      <c r="M345" s="222">
        <v>7538</v>
      </c>
      <c r="N345" s="222">
        <v>9338</v>
      </c>
      <c r="O345" s="222">
        <v>11671</v>
      </c>
      <c r="P345" s="222">
        <v>14119</v>
      </c>
      <c r="Q345" s="222">
        <v>15491</v>
      </c>
      <c r="R345" s="222">
        <v>18172</v>
      </c>
      <c r="S345" s="222">
        <v>20974</v>
      </c>
      <c r="T345" s="222">
        <v>23898</v>
      </c>
      <c r="U345" s="222">
        <v>26944</v>
      </c>
      <c r="V345" s="222">
        <v>28731</v>
      </c>
    </row>
    <row r="346" spans="1:22" x14ac:dyDescent="0.2">
      <c r="A346" s="4"/>
      <c r="B346" s="4"/>
      <c r="C346" s="4"/>
      <c r="D346" s="135"/>
      <c r="E346" s="135"/>
      <c r="F346" s="135"/>
      <c r="G346" s="135"/>
      <c r="H346" s="135"/>
      <c r="I346" s="135"/>
      <c r="J346" s="135"/>
      <c r="K346" s="135"/>
      <c r="L346" s="135"/>
      <c r="M346" s="135"/>
      <c r="N346" s="135"/>
      <c r="O346" s="135"/>
      <c r="P346" s="135"/>
      <c r="Q346" s="135"/>
      <c r="R346" s="135"/>
      <c r="S346" s="135"/>
      <c r="T346" s="135"/>
      <c r="U346" s="135"/>
      <c r="V346" s="135"/>
    </row>
    <row r="347" spans="1:22" x14ac:dyDescent="0.2">
      <c r="A347" s="4" t="s">
        <v>421</v>
      </c>
      <c r="B347" s="4"/>
      <c r="C347" s="4"/>
      <c r="D347" s="135"/>
      <c r="E347" s="135"/>
      <c r="F347" s="135"/>
      <c r="G347" s="135"/>
      <c r="H347" s="135"/>
      <c r="I347" s="135"/>
      <c r="J347" s="135"/>
      <c r="K347" s="135"/>
      <c r="L347" s="135"/>
      <c r="M347" s="135"/>
      <c r="N347" s="135"/>
      <c r="O347" s="135"/>
      <c r="P347" s="135"/>
      <c r="Q347" s="135"/>
      <c r="R347" s="135"/>
      <c r="S347" s="135"/>
      <c r="T347" s="135"/>
      <c r="U347" s="135"/>
      <c r="V347" s="135"/>
    </row>
    <row r="348" spans="1:22" x14ac:dyDescent="0.2">
      <c r="B348" s="34" t="s">
        <v>396</v>
      </c>
      <c r="C348" s="4"/>
      <c r="D348" s="217">
        <v>0</v>
      </c>
      <c r="E348" s="217">
        <v>0</v>
      </c>
      <c r="F348" s="217">
        <v>0</v>
      </c>
      <c r="G348" s="217">
        <v>0</v>
      </c>
      <c r="H348" s="217">
        <v>0</v>
      </c>
      <c r="I348" s="217">
        <v>0</v>
      </c>
      <c r="J348" s="217">
        <v>0</v>
      </c>
      <c r="K348" s="217">
        <v>0</v>
      </c>
      <c r="L348" s="217">
        <v>0</v>
      </c>
      <c r="M348" s="217">
        <v>0</v>
      </c>
      <c r="N348" s="217">
        <v>0</v>
      </c>
      <c r="O348" s="217">
        <v>0</v>
      </c>
      <c r="P348" s="217">
        <v>0</v>
      </c>
      <c r="Q348" s="217">
        <v>0</v>
      </c>
      <c r="R348" s="217">
        <v>0</v>
      </c>
      <c r="S348" s="217">
        <v>0</v>
      </c>
      <c r="T348" s="217">
        <v>0</v>
      </c>
      <c r="U348" s="217">
        <v>0</v>
      </c>
      <c r="V348" s="217">
        <v>0</v>
      </c>
    </row>
    <row r="349" spans="1:22" x14ac:dyDescent="0.2">
      <c r="A349" s="247"/>
      <c r="B349" s="34" t="s">
        <v>1151</v>
      </c>
      <c r="C349" s="4"/>
      <c r="D349" s="217">
        <v>0</v>
      </c>
      <c r="E349" s="217">
        <v>0</v>
      </c>
      <c r="F349" s="217">
        <v>0</v>
      </c>
      <c r="G349" s="217">
        <v>-956863</v>
      </c>
      <c r="H349" s="217">
        <v>-1430426</v>
      </c>
      <c r="I349" s="217">
        <v>-1424175</v>
      </c>
      <c r="J349" s="217">
        <v>-1417431</v>
      </c>
      <c r="K349" s="217">
        <v>-1410158</v>
      </c>
      <c r="L349" s="217">
        <v>-1402311</v>
      </c>
      <c r="M349" s="217">
        <v>-1393848</v>
      </c>
      <c r="N349" s="217">
        <v>-1384718</v>
      </c>
      <c r="O349" s="217">
        <v>-1374869</v>
      </c>
      <c r="P349" s="217">
        <v>-1364245</v>
      </c>
      <c r="Q349" s="217">
        <v>-1352786</v>
      </c>
      <c r="R349" s="217">
        <v>-1340424</v>
      </c>
      <c r="S349" s="217">
        <v>-1327089</v>
      </c>
      <c r="T349" s="217">
        <v>-1312705</v>
      </c>
      <c r="U349" s="217">
        <v>-1297189</v>
      </c>
      <c r="V349" s="217">
        <v>-1280452</v>
      </c>
    </row>
    <row r="350" spans="1:22" x14ac:dyDescent="0.2">
      <c r="A350" s="247"/>
      <c r="B350" s="34" t="s">
        <v>183</v>
      </c>
      <c r="C350" s="4"/>
      <c r="D350" s="217">
        <v>0</v>
      </c>
      <c r="E350" s="217">
        <v>0</v>
      </c>
      <c r="F350" s="217">
        <v>0</v>
      </c>
      <c r="G350" s="217">
        <v>0</v>
      </c>
      <c r="H350" s="217">
        <v>0</v>
      </c>
      <c r="I350" s="217">
        <v>0</v>
      </c>
      <c r="J350" s="217">
        <v>0</v>
      </c>
      <c r="K350" s="217">
        <v>0</v>
      </c>
      <c r="L350" s="217">
        <v>0</v>
      </c>
      <c r="M350" s="217">
        <v>0</v>
      </c>
      <c r="N350" s="217">
        <v>0</v>
      </c>
      <c r="O350" s="217">
        <v>0</v>
      </c>
      <c r="P350" s="217">
        <v>0</v>
      </c>
      <c r="Q350" s="217">
        <v>0</v>
      </c>
      <c r="R350" s="217">
        <v>0</v>
      </c>
      <c r="S350" s="217">
        <v>0</v>
      </c>
      <c r="T350" s="217">
        <v>0</v>
      </c>
      <c r="U350" s="217">
        <v>0</v>
      </c>
      <c r="V350" s="217">
        <v>0</v>
      </c>
    </row>
    <row r="351" spans="1:22" x14ac:dyDescent="0.2">
      <c r="A351" s="247"/>
      <c r="B351" s="34" t="s">
        <v>183</v>
      </c>
      <c r="C351" s="4"/>
      <c r="D351" s="217">
        <v>0</v>
      </c>
      <c r="E351" s="217">
        <v>0</v>
      </c>
      <c r="F351" s="217">
        <v>0</v>
      </c>
      <c r="G351" s="217">
        <v>0</v>
      </c>
      <c r="H351" s="217">
        <v>0</v>
      </c>
      <c r="I351" s="217">
        <v>0</v>
      </c>
      <c r="J351" s="217">
        <v>0</v>
      </c>
      <c r="K351" s="217">
        <v>0</v>
      </c>
      <c r="L351" s="217">
        <v>0</v>
      </c>
      <c r="M351" s="217">
        <v>0</v>
      </c>
      <c r="N351" s="217">
        <v>0</v>
      </c>
      <c r="O351" s="217">
        <v>0</v>
      </c>
      <c r="P351" s="217">
        <v>0</v>
      </c>
      <c r="Q351" s="217">
        <v>0</v>
      </c>
      <c r="R351" s="217">
        <v>0</v>
      </c>
      <c r="S351" s="217">
        <v>0</v>
      </c>
      <c r="T351" s="217">
        <v>0</v>
      </c>
      <c r="U351" s="217">
        <v>0</v>
      </c>
      <c r="V351" s="217">
        <v>0</v>
      </c>
    </row>
    <row r="352" spans="1:22" x14ac:dyDescent="0.2">
      <c r="A352" s="247"/>
      <c r="B352" s="34" t="s">
        <v>229</v>
      </c>
      <c r="C352" s="4"/>
      <c r="D352" s="217">
        <v>0</v>
      </c>
      <c r="E352" s="217">
        <v>0</v>
      </c>
      <c r="F352" s="217">
        <v>0</v>
      </c>
      <c r="G352" s="217">
        <v>0</v>
      </c>
      <c r="H352" s="217">
        <v>0</v>
      </c>
      <c r="I352" s="217">
        <v>0</v>
      </c>
      <c r="J352" s="217">
        <v>0</v>
      </c>
      <c r="K352" s="217">
        <v>0</v>
      </c>
      <c r="L352" s="217">
        <v>0</v>
      </c>
      <c r="M352" s="217">
        <v>0</v>
      </c>
      <c r="N352" s="217">
        <v>0</v>
      </c>
      <c r="O352" s="217">
        <v>0</v>
      </c>
      <c r="P352" s="217">
        <v>0</v>
      </c>
      <c r="Q352" s="217">
        <v>0</v>
      </c>
      <c r="R352" s="217">
        <v>0</v>
      </c>
      <c r="S352" s="217">
        <v>0</v>
      </c>
      <c r="T352" s="217">
        <v>0</v>
      </c>
      <c r="U352" s="217">
        <v>0</v>
      </c>
      <c r="V352" s="217">
        <v>0</v>
      </c>
    </row>
    <row r="353" spans="1:22" x14ac:dyDescent="0.2">
      <c r="A353" s="247"/>
      <c r="B353" s="34" t="s">
        <v>183</v>
      </c>
      <c r="C353" s="4"/>
      <c r="D353" s="217">
        <v>0</v>
      </c>
      <c r="E353" s="217">
        <v>0</v>
      </c>
      <c r="F353" s="217">
        <v>0</v>
      </c>
      <c r="G353" s="217">
        <v>0</v>
      </c>
      <c r="H353" s="217">
        <v>0</v>
      </c>
      <c r="I353" s="217">
        <v>0</v>
      </c>
      <c r="J353" s="217">
        <v>0</v>
      </c>
      <c r="K353" s="217">
        <v>0</v>
      </c>
      <c r="L353" s="217">
        <v>0</v>
      </c>
      <c r="M353" s="217">
        <v>0</v>
      </c>
      <c r="N353" s="217">
        <v>0</v>
      </c>
      <c r="O353" s="217">
        <v>0</v>
      </c>
      <c r="P353" s="217">
        <v>0</v>
      </c>
      <c r="Q353" s="217">
        <v>0</v>
      </c>
      <c r="R353" s="217">
        <v>0</v>
      </c>
      <c r="S353" s="217">
        <v>0</v>
      </c>
      <c r="T353" s="217">
        <v>0</v>
      </c>
      <c r="U353" s="217">
        <v>0</v>
      </c>
      <c r="V353" s="217">
        <v>0</v>
      </c>
    </row>
    <row r="354" spans="1:22" x14ac:dyDescent="0.2">
      <c r="A354" s="247"/>
      <c r="B354" s="34" t="s">
        <v>183</v>
      </c>
      <c r="C354" s="4"/>
      <c r="D354" s="217">
        <v>0</v>
      </c>
      <c r="E354" s="217">
        <v>0</v>
      </c>
      <c r="F354" s="217">
        <v>0</v>
      </c>
      <c r="G354" s="217">
        <v>0</v>
      </c>
      <c r="H354" s="217">
        <v>0</v>
      </c>
      <c r="I354" s="217">
        <v>0</v>
      </c>
      <c r="J354" s="217">
        <v>0</v>
      </c>
      <c r="K354" s="217">
        <v>0</v>
      </c>
      <c r="L354" s="217">
        <v>0</v>
      </c>
      <c r="M354" s="217">
        <v>0</v>
      </c>
      <c r="N354" s="217">
        <v>0</v>
      </c>
      <c r="O354" s="217">
        <v>0</v>
      </c>
      <c r="P354" s="217">
        <v>0</v>
      </c>
      <c r="Q354" s="217">
        <v>0</v>
      </c>
      <c r="R354" s="217">
        <v>0</v>
      </c>
      <c r="S354" s="217">
        <v>0</v>
      </c>
      <c r="T354" s="217">
        <v>0</v>
      </c>
      <c r="U354" s="217">
        <v>0</v>
      </c>
      <c r="V354" s="217">
        <v>0</v>
      </c>
    </row>
    <row r="355" spans="1:22" x14ac:dyDescent="0.2">
      <c r="A355" s="247"/>
      <c r="B355" s="34" t="s">
        <v>233</v>
      </c>
      <c r="C355" s="4"/>
      <c r="D355" s="217">
        <v>0</v>
      </c>
      <c r="E355" s="217">
        <v>0</v>
      </c>
      <c r="F355" s="217">
        <v>0</v>
      </c>
      <c r="G355" s="217">
        <v>0</v>
      </c>
      <c r="H355" s="217">
        <v>0</v>
      </c>
      <c r="I355" s="217">
        <v>0</v>
      </c>
      <c r="J355" s="217">
        <v>0</v>
      </c>
      <c r="K355" s="217">
        <v>0</v>
      </c>
      <c r="L355" s="217">
        <v>0</v>
      </c>
      <c r="M355" s="217">
        <v>0</v>
      </c>
      <c r="N355" s="217">
        <v>0</v>
      </c>
      <c r="O355" s="217">
        <v>0</v>
      </c>
      <c r="P355" s="217">
        <v>0</v>
      </c>
      <c r="Q355" s="217">
        <v>0</v>
      </c>
      <c r="R355" s="217">
        <v>0</v>
      </c>
      <c r="S355" s="217">
        <v>0</v>
      </c>
      <c r="T355" s="217">
        <v>0</v>
      </c>
      <c r="U355" s="217">
        <v>0</v>
      </c>
      <c r="V355" s="217">
        <v>0</v>
      </c>
    </row>
    <row r="356" spans="1:22" x14ac:dyDescent="0.2">
      <c r="A356" s="247"/>
      <c r="B356" s="34" t="s">
        <v>734</v>
      </c>
      <c r="C356" s="4"/>
      <c r="D356" s="217">
        <v>0</v>
      </c>
      <c r="E356" s="217">
        <v>-5833</v>
      </c>
      <c r="F356" s="217">
        <v>-10300</v>
      </c>
      <c r="G356" s="217">
        <v>-10609</v>
      </c>
      <c r="H356" s="217">
        <v>-10927</v>
      </c>
      <c r="I356" s="217">
        <v>-11255</v>
      </c>
      <c r="J356" s="217">
        <v>-11593</v>
      </c>
      <c r="K356" s="217">
        <v>-11941</v>
      </c>
      <c r="L356" s="217">
        <v>-12299</v>
      </c>
      <c r="M356" s="217">
        <v>-12668</v>
      </c>
      <c r="N356" s="217">
        <v>-13048</v>
      </c>
      <c r="O356" s="217">
        <v>-13439</v>
      </c>
      <c r="P356" s="217">
        <v>-13842</v>
      </c>
      <c r="Q356" s="217">
        <v>-14257</v>
      </c>
      <c r="R356" s="217">
        <v>-14685</v>
      </c>
      <c r="S356" s="217">
        <v>-15126</v>
      </c>
      <c r="T356" s="217">
        <v>-15580</v>
      </c>
      <c r="U356" s="217">
        <v>-16047</v>
      </c>
      <c r="V356" s="217">
        <v>-16528</v>
      </c>
    </row>
    <row r="357" spans="1:22" x14ac:dyDescent="0.2">
      <c r="A357" s="247"/>
      <c r="B357" s="34" t="s">
        <v>183</v>
      </c>
      <c r="C357" s="4"/>
      <c r="D357" s="217">
        <v>0</v>
      </c>
      <c r="E357" s="217">
        <v>0</v>
      </c>
      <c r="F357" s="217">
        <v>0</v>
      </c>
      <c r="G357" s="217">
        <v>0</v>
      </c>
      <c r="H357" s="217">
        <v>0</v>
      </c>
      <c r="I357" s="217">
        <v>0</v>
      </c>
      <c r="J357" s="217">
        <v>0</v>
      </c>
      <c r="K357" s="217">
        <v>0</v>
      </c>
      <c r="L357" s="217">
        <v>0</v>
      </c>
      <c r="M357" s="217">
        <v>0</v>
      </c>
      <c r="N357" s="217">
        <v>0</v>
      </c>
      <c r="O357" s="217">
        <v>0</v>
      </c>
      <c r="P357" s="217">
        <v>0</v>
      </c>
      <c r="Q357" s="217">
        <v>0</v>
      </c>
      <c r="R357" s="217">
        <v>0</v>
      </c>
      <c r="S357" s="217">
        <v>0</v>
      </c>
      <c r="T357" s="217">
        <v>0</v>
      </c>
      <c r="U357" s="217">
        <v>0</v>
      </c>
      <c r="V357" s="217">
        <v>0</v>
      </c>
    </row>
    <row r="358" spans="1:22" x14ac:dyDescent="0.2">
      <c r="A358" s="247"/>
      <c r="B358" s="34" t="s">
        <v>235</v>
      </c>
      <c r="C358" s="4"/>
      <c r="D358" s="217">
        <v>0</v>
      </c>
      <c r="E358" s="217">
        <v>0</v>
      </c>
      <c r="F358" s="217">
        <v>0</v>
      </c>
      <c r="G358" s="217">
        <v>-88527</v>
      </c>
      <c r="H358" s="217">
        <v>-93106</v>
      </c>
      <c r="I358" s="217">
        <v>-79034</v>
      </c>
      <c r="J358" s="217">
        <v>-63244</v>
      </c>
      <c r="K358" s="217">
        <v>-45657</v>
      </c>
      <c r="L358" s="217">
        <v>-26189</v>
      </c>
      <c r="M358" s="217">
        <v>-4792</v>
      </c>
      <c r="N358" s="217">
        <v>0</v>
      </c>
      <c r="O358" s="217">
        <v>0</v>
      </c>
      <c r="P358" s="217">
        <v>0</v>
      </c>
      <c r="Q358" s="217">
        <v>0</v>
      </c>
      <c r="R358" s="217">
        <v>0</v>
      </c>
      <c r="S358" s="217">
        <v>0</v>
      </c>
      <c r="T358" s="217">
        <v>0</v>
      </c>
      <c r="U358" s="217">
        <v>0</v>
      </c>
      <c r="V358" s="217">
        <v>0</v>
      </c>
    </row>
    <row r="359" spans="1:22" x14ac:dyDescent="0.2">
      <c r="A359" s="247"/>
      <c r="B359" s="34" t="s">
        <v>1152</v>
      </c>
      <c r="C359" s="4"/>
      <c r="D359" s="217">
        <v>0</v>
      </c>
      <c r="E359" s="217">
        <v>0</v>
      </c>
      <c r="F359" s="217">
        <v>0</v>
      </c>
      <c r="G359" s="217">
        <v>0</v>
      </c>
      <c r="H359" s="217">
        <v>0</v>
      </c>
      <c r="I359" s="217">
        <v>0</v>
      </c>
      <c r="J359" s="217">
        <v>0</v>
      </c>
      <c r="K359" s="217">
        <v>0</v>
      </c>
      <c r="L359" s="217">
        <v>0</v>
      </c>
      <c r="M359" s="217">
        <v>0</v>
      </c>
      <c r="N359" s="217">
        <v>0</v>
      </c>
      <c r="O359" s="217">
        <v>0</v>
      </c>
      <c r="P359" s="217">
        <v>0</v>
      </c>
      <c r="Q359" s="217">
        <v>0</v>
      </c>
      <c r="R359" s="217">
        <v>0</v>
      </c>
      <c r="S359" s="217">
        <v>0</v>
      </c>
      <c r="T359" s="217">
        <v>0</v>
      </c>
      <c r="U359" s="217">
        <v>0</v>
      </c>
      <c r="V359" s="217">
        <v>0</v>
      </c>
    </row>
    <row r="360" spans="1:22" x14ac:dyDescent="0.2">
      <c r="A360" s="247"/>
      <c r="B360" s="34" t="s">
        <v>1153</v>
      </c>
      <c r="C360" s="4"/>
      <c r="D360" s="217">
        <v>0</v>
      </c>
      <c r="E360" s="217">
        <v>0</v>
      </c>
      <c r="F360" s="217">
        <v>0</v>
      </c>
      <c r="G360" s="217">
        <v>0</v>
      </c>
      <c r="H360" s="217">
        <v>0</v>
      </c>
      <c r="I360" s="217">
        <v>0</v>
      </c>
      <c r="J360" s="217">
        <v>0</v>
      </c>
      <c r="K360" s="217">
        <v>0</v>
      </c>
      <c r="L360" s="217">
        <v>0</v>
      </c>
      <c r="M360" s="217">
        <v>0</v>
      </c>
      <c r="N360" s="217">
        <v>0</v>
      </c>
      <c r="O360" s="217">
        <v>0</v>
      </c>
      <c r="P360" s="217">
        <v>0</v>
      </c>
      <c r="Q360" s="217">
        <v>0</v>
      </c>
      <c r="R360" s="217">
        <v>0</v>
      </c>
      <c r="S360" s="217">
        <v>0</v>
      </c>
      <c r="T360" s="217">
        <v>0</v>
      </c>
      <c r="U360" s="217">
        <v>0</v>
      </c>
      <c r="V360" s="217">
        <v>0</v>
      </c>
    </row>
    <row r="361" spans="1:22" x14ac:dyDescent="0.2">
      <c r="A361" s="247"/>
      <c r="B361" s="34" t="s">
        <v>1150</v>
      </c>
      <c r="C361" s="4"/>
      <c r="D361" s="217">
        <v>-146489</v>
      </c>
      <c r="E361" s="217">
        <v>-857993</v>
      </c>
      <c r="F361" s="217">
        <v>-1128084</v>
      </c>
      <c r="G361" s="217">
        <v>-1184956</v>
      </c>
      <c r="H361" s="217">
        <v>-1260790</v>
      </c>
      <c r="I361" s="217">
        <v>-1311222</v>
      </c>
      <c r="J361" s="217">
        <v>-1363671</v>
      </c>
      <c r="K361" s="217">
        <v>-1418218</v>
      </c>
      <c r="L361" s="217">
        <v>-1474947</v>
      </c>
      <c r="M361" s="217">
        <v>-1533944</v>
      </c>
      <c r="N361" s="217">
        <v>-1595302</v>
      </c>
      <c r="O361" s="217">
        <v>-1659114</v>
      </c>
      <c r="P361" s="217">
        <v>-1725479</v>
      </c>
      <c r="Q361" s="217">
        <v>-1794498</v>
      </c>
      <c r="R361" s="217">
        <v>-1866278</v>
      </c>
      <c r="S361" s="217">
        <v>-1940929</v>
      </c>
      <c r="T361" s="217">
        <v>-2018566</v>
      </c>
      <c r="U361" s="217">
        <v>-2099309</v>
      </c>
      <c r="V361" s="217">
        <v>-2183281</v>
      </c>
    </row>
    <row r="362" spans="1:22" x14ac:dyDescent="0.2">
      <c r="A362" s="247"/>
      <c r="B362" s="34" t="s">
        <v>1154</v>
      </c>
      <c r="C362" s="4"/>
      <c r="D362" s="217">
        <v>-517</v>
      </c>
      <c r="E362" s="217">
        <v>-14719</v>
      </c>
      <c r="F362" s="217">
        <v>-50004</v>
      </c>
      <c r="G362" s="217">
        <v>-51089</v>
      </c>
      <c r="H362" s="217">
        <v>-52908</v>
      </c>
      <c r="I362" s="217">
        <v>-54231</v>
      </c>
      <c r="J362" s="217">
        <v>-55587</v>
      </c>
      <c r="K362" s="217">
        <v>-56976</v>
      </c>
      <c r="L362" s="217">
        <v>-58401</v>
      </c>
      <c r="M362" s="217">
        <v>-59861</v>
      </c>
      <c r="N362" s="217">
        <v>-61357</v>
      </c>
      <c r="O362" s="217">
        <v>-62891</v>
      </c>
      <c r="P362" s="217">
        <v>-64464</v>
      </c>
      <c r="Q362" s="217">
        <v>-66075</v>
      </c>
      <c r="R362" s="217">
        <v>-67727</v>
      </c>
      <c r="S362" s="217">
        <v>-69420</v>
      </c>
      <c r="T362" s="217">
        <v>-71156</v>
      </c>
      <c r="U362" s="217">
        <v>-72935</v>
      </c>
      <c r="V362" s="217">
        <v>-74758</v>
      </c>
    </row>
    <row r="363" spans="1:22" x14ac:dyDescent="0.2">
      <c r="A363" s="247"/>
      <c r="B363" s="34" t="s">
        <v>183</v>
      </c>
      <c r="C363" s="4"/>
      <c r="D363" s="217">
        <v>0</v>
      </c>
      <c r="E363" s="217">
        <v>0</v>
      </c>
      <c r="F363" s="217">
        <v>0</v>
      </c>
      <c r="G363" s="217">
        <v>0</v>
      </c>
      <c r="H363" s="217">
        <v>0</v>
      </c>
      <c r="I363" s="217">
        <v>0</v>
      </c>
      <c r="J363" s="217">
        <v>0</v>
      </c>
      <c r="K363" s="217">
        <v>0</v>
      </c>
      <c r="L363" s="217">
        <v>0</v>
      </c>
      <c r="M363" s="217">
        <v>0</v>
      </c>
      <c r="N363" s="217">
        <v>0</v>
      </c>
      <c r="O363" s="217">
        <v>0</v>
      </c>
      <c r="P363" s="217">
        <v>0</v>
      </c>
      <c r="Q363" s="217">
        <v>0</v>
      </c>
      <c r="R363" s="217">
        <v>0</v>
      </c>
      <c r="S363" s="217">
        <v>0</v>
      </c>
      <c r="T363" s="217">
        <v>0</v>
      </c>
      <c r="U363" s="217">
        <v>0</v>
      </c>
      <c r="V363" s="217">
        <v>0</v>
      </c>
    </row>
    <row r="364" spans="1:22" x14ac:dyDescent="0.2">
      <c r="A364" s="247"/>
      <c r="B364" s="34" t="s">
        <v>183</v>
      </c>
      <c r="C364" s="4"/>
      <c r="D364" s="217">
        <v>0</v>
      </c>
      <c r="E364" s="217">
        <v>0</v>
      </c>
      <c r="F364" s="217">
        <v>0</v>
      </c>
      <c r="G364" s="217">
        <v>0</v>
      </c>
      <c r="H364" s="217">
        <v>0</v>
      </c>
      <c r="I364" s="217">
        <v>0</v>
      </c>
      <c r="J364" s="217">
        <v>0</v>
      </c>
      <c r="K364" s="217">
        <v>0</v>
      </c>
      <c r="L364" s="217">
        <v>0</v>
      </c>
      <c r="M364" s="217">
        <v>0</v>
      </c>
      <c r="N364" s="217">
        <v>0</v>
      </c>
      <c r="O364" s="217">
        <v>0</v>
      </c>
      <c r="P364" s="217">
        <v>0</v>
      </c>
      <c r="Q364" s="217">
        <v>0</v>
      </c>
      <c r="R364" s="217">
        <v>0</v>
      </c>
      <c r="S364" s="217">
        <v>0</v>
      </c>
      <c r="T364" s="217">
        <v>0</v>
      </c>
      <c r="U364" s="217">
        <v>0</v>
      </c>
      <c r="V364" s="217">
        <v>0</v>
      </c>
    </row>
    <row r="365" spans="1:22" x14ac:dyDescent="0.2">
      <c r="A365" s="247"/>
      <c r="B365" s="34" t="s">
        <v>183</v>
      </c>
      <c r="C365" s="4"/>
      <c r="D365" s="217">
        <v>0</v>
      </c>
      <c r="E365" s="217">
        <v>0</v>
      </c>
      <c r="F365" s="217">
        <v>0</v>
      </c>
      <c r="G365" s="217">
        <v>0</v>
      </c>
      <c r="H365" s="217">
        <v>0</v>
      </c>
      <c r="I365" s="217">
        <v>0</v>
      </c>
      <c r="J365" s="217">
        <v>0</v>
      </c>
      <c r="K365" s="217">
        <v>0</v>
      </c>
      <c r="L365" s="217">
        <v>0</v>
      </c>
      <c r="M365" s="217">
        <v>0</v>
      </c>
      <c r="N365" s="217">
        <v>0</v>
      </c>
      <c r="O365" s="217">
        <v>0</v>
      </c>
      <c r="P365" s="217">
        <v>0</v>
      </c>
      <c r="Q365" s="217">
        <v>0</v>
      </c>
      <c r="R365" s="217">
        <v>0</v>
      </c>
      <c r="S365" s="217">
        <v>0</v>
      </c>
      <c r="T365" s="217">
        <v>0</v>
      </c>
      <c r="U365" s="217">
        <v>0</v>
      </c>
      <c r="V365" s="217">
        <v>0</v>
      </c>
    </row>
    <row r="366" spans="1:22" x14ac:dyDescent="0.2">
      <c r="A366" s="247"/>
      <c r="B366" s="34" t="s">
        <v>183</v>
      </c>
      <c r="C366" s="4"/>
      <c r="D366" s="217">
        <v>0</v>
      </c>
      <c r="E366" s="217">
        <v>0</v>
      </c>
      <c r="F366" s="217">
        <v>0</v>
      </c>
      <c r="G366" s="217">
        <v>0</v>
      </c>
      <c r="H366" s="217">
        <v>0</v>
      </c>
      <c r="I366" s="217">
        <v>0</v>
      </c>
      <c r="J366" s="217">
        <v>0</v>
      </c>
      <c r="K366" s="217">
        <v>0</v>
      </c>
      <c r="L366" s="217">
        <v>0</v>
      </c>
      <c r="M366" s="217">
        <v>0</v>
      </c>
      <c r="N366" s="217">
        <v>0</v>
      </c>
      <c r="O366" s="217">
        <v>0</v>
      </c>
      <c r="P366" s="217">
        <v>0</v>
      </c>
      <c r="Q366" s="217">
        <v>0</v>
      </c>
      <c r="R366" s="217">
        <v>0</v>
      </c>
      <c r="S366" s="217">
        <v>0</v>
      </c>
      <c r="T366" s="217">
        <v>0</v>
      </c>
      <c r="U366" s="217">
        <v>0</v>
      </c>
      <c r="V366" s="217">
        <v>0</v>
      </c>
    </row>
    <row r="367" spans="1:22" x14ac:dyDescent="0.2">
      <c r="A367" s="247"/>
      <c r="B367" s="34" t="s">
        <v>183</v>
      </c>
      <c r="C367" s="4"/>
      <c r="D367" s="217">
        <v>0</v>
      </c>
      <c r="E367" s="217">
        <v>0</v>
      </c>
      <c r="F367" s="217">
        <v>0</v>
      </c>
      <c r="G367" s="217">
        <v>0</v>
      </c>
      <c r="H367" s="217">
        <v>0</v>
      </c>
      <c r="I367" s="217">
        <v>0</v>
      </c>
      <c r="J367" s="217">
        <v>0</v>
      </c>
      <c r="K367" s="217">
        <v>0</v>
      </c>
      <c r="L367" s="217">
        <v>0</v>
      </c>
      <c r="M367" s="217">
        <v>0</v>
      </c>
      <c r="N367" s="217">
        <v>0</v>
      </c>
      <c r="O367" s="217">
        <v>0</v>
      </c>
      <c r="P367" s="217">
        <v>0</v>
      </c>
      <c r="Q367" s="217">
        <v>0</v>
      </c>
      <c r="R367" s="217">
        <v>0</v>
      </c>
      <c r="S367" s="217">
        <v>0</v>
      </c>
      <c r="T367" s="217">
        <v>0</v>
      </c>
      <c r="U367" s="217">
        <v>0</v>
      </c>
      <c r="V367" s="217">
        <v>0</v>
      </c>
    </row>
    <row r="368" spans="1:22" x14ac:dyDescent="0.2">
      <c r="A368" s="247"/>
      <c r="B368" s="34" t="s">
        <v>1155</v>
      </c>
      <c r="C368" s="4"/>
      <c r="D368" s="217">
        <v>0</v>
      </c>
      <c r="E368" s="217">
        <v>0</v>
      </c>
      <c r="F368" s="217">
        <v>0</v>
      </c>
      <c r="G368" s="217">
        <v>0</v>
      </c>
      <c r="H368" s="217">
        <v>0</v>
      </c>
      <c r="I368" s="217">
        <v>0</v>
      </c>
      <c r="J368" s="217">
        <v>0</v>
      </c>
      <c r="K368" s="217">
        <v>0</v>
      </c>
      <c r="L368" s="217">
        <v>0</v>
      </c>
      <c r="M368" s="217">
        <v>-138533</v>
      </c>
      <c r="N368" s="217">
        <v>-184971</v>
      </c>
      <c r="O368" s="217">
        <v>-194630</v>
      </c>
      <c r="P368" s="217">
        <v>-204394</v>
      </c>
      <c r="Q368" s="217">
        <v>-213906</v>
      </c>
      <c r="R368" s="217">
        <v>-223872</v>
      </c>
      <c r="S368" s="217">
        <v>-233940</v>
      </c>
      <c r="T368" s="217">
        <v>-244104</v>
      </c>
      <c r="U368" s="217">
        <v>-254364</v>
      </c>
      <c r="V368" s="217">
        <v>-264307</v>
      </c>
    </row>
    <row r="369" spans="1:22" x14ac:dyDescent="0.2">
      <c r="B369" s="4" t="s">
        <v>422</v>
      </c>
      <c r="C369" s="4"/>
      <c r="D369" s="217">
        <v>147006</v>
      </c>
      <c r="E369" s="217">
        <v>872712</v>
      </c>
      <c r="F369" s="217">
        <v>785392</v>
      </c>
      <c r="G369" s="217">
        <v>0</v>
      </c>
      <c r="H369" s="217">
        <v>0</v>
      </c>
      <c r="I369" s="217">
        <v>0</v>
      </c>
      <c r="J369" s="217">
        <v>0</v>
      </c>
      <c r="K369" s="217">
        <v>0</v>
      </c>
      <c r="L369" s="217">
        <v>0</v>
      </c>
      <c r="M369" s="217">
        <v>0</v>
      </c>
      <c r="N369" s="217">
        <v>0</v>
      </c>
      <c r="O369" s="217">
        <v>0</v>
      </c>
      <c r="P369" s="217">
        <v>0</v>
      </c>
      <c r="Q369" s="217">
        <v>0</v>
      </c>
      <c r="R369" s="217">
        <v>0</v>
      </c>
      <c r="S369" s="217">
        <v>0</v>
      </c>
      <c r="T369" s="217">
        <v>0</v>
      </c>
      <c r="U369" s="217">
        <v>0</v>
      </c>
      <c r="V369" s="217">
        <v>0</v>
      </c>
    </row>
    <row r="370" spans="1:22" x14ac:dyDescent="0.2">
      <c r="B370" s="4" t="s">
        <v>423</v>
      </c>
      <c r="C370" s="4"/>
      <c r="D370" s="222">
        <v>0</v>
      </c>
      <c r="E370" s="222">
        <v>-5833</v>
      </c>
      <c r="F370" s="222">
        <v>-402996</v>
      </c>
      <c r="G370" s="222">
        <v>-2292044</v>
      </c>
      <c r="H370" s="222">
        <v>-2848157</v>
      </c>
      <c r="I370" s="222">
        <v>-2879917</v>
      </c>
      <c r="J370" s="222">
        <v>-2911526</v>
      </c>
      <c r="K370" s="222">
        <v>-2942950</v>
      </c>
      <c r="L370" s="222">
        <v>-2974147</v>
      </c>
      <c r="M370" s="222">
        <v>-3143646</v>
      </c>
      <c r="N370" s="222">
        <v>-3239396</v>
      </c>
      <c r="O370" s="222">
        <v>-3304943</v>
      </c>
      <c r="P370" s="222">
        <v>-3372424</v>
      </c>
      <c r="Q370" s="222">
        <v>-3441522</v>
      </c>
      <c r="R370" s="222">
        <v>-3512986</v>
      </c>
      <c r="S370" s="222">
        <v>-3586504</v>
      </c>
      <c r="T370" s="222">
        <v>-3662111</v>
      </c>
      <c r="U370" s="222">
        <v>-3739844</v>
      </c>
      <c r="V370" s="222">
        <v>-3819326</v>
      </c>
    </row>
    <row r="371" spans="1:22" x14ac:dyDescent="0.2">
      <c r="B371" s="4"/>
      <c r="C371" s="4"/>
      <c r="D371" s="135"/>
      <c r="E371" s="135"/>
      <c r="F371" s="135"/>
      <c r="G371" s="135"/>
      <c r="H371" s="135"/>
      <c r="I371" s="135"/>
      <c r="J371" s="135"/>
      <c r="K371" s="135"/>
      <c r="L371" s="135"/>
      <c r="M371" s="135"/>
      <c r="N371" s="135"/>
      <c r="O371" s="135"/>
      <c r="P371" s="135"/>
      <c r="Q371" s="135"/>
      <c r="R371" s="135"/>
      <c r="S371" s="135"/>
      <c r="T371" s="135"/>
      <c r="U371" s="135"/>
      <c r="V371" s="135"/>
    </row>
    <row r="372" spans="1:22" x14ac:dyDescent="0.2">
      <c r="B372" s="4" t="s">
        <v>424</v>
      </c>
      <c r="C372" s="4"/>
      <c r="D372" s="217">
        <v>0</v>
      </c>
      <c r="E372" s="217">
        <v>0</v>
      </c>
      <c r="F372" s="217">
        <v>769428</v>
      </c>
      <c r="G372" s="217">
        <v>767971</v>
      </c>
      <c r="H372" s="217">
        <v>90394</v>
      </c>
      <c r="I372" s="217">
        <v>90394</v>
      </c>
      <c r="J372" s="217">
        <v>90394</v>
      </c>
      <c r="K372" s="217">
        <v>90394</v>
      </c>
      <c r="L372" s="217">
        <v>90394</v>
      </c>
      <c r="M372" s="217">
        <v>90394</v>
      </c>
      <c r="N372" s="217">
        <v>90394</v>
      </c>
      <c r="O372" s="217">
        <v>90394</v>
      </c>
      <c r="P372" s="217">
        <v>90394</v>
      </c>
      <c r="Q372" s="217">
        <v>90394</v>
      </c>
      <c r="R372" s="217">
        <v>90394</v>
      </c>
      <c r="S372" s="217">
        <v>90394</v>
      </c>
      <c r="T372" s="217">
        <v>90394</v>
      </c>
      <c r="U372" s="217">
        <v>68536</v>
      </c>
      <c r="V372" s="217">
        <v>15033</v>
      </c>
    </row>
    <row r="373" spans="1:22" x14ac:dyDescent="0.2">
      <c r="B373" s="4" t="s">
        <v>425</v>
      </c>
      <c r="C373" s="4"/>
      <c r="D373" s="26">
        <v>0</v>
      </c>
      <c r="E373" s="26">
        <v>0</v>
      </c>
      <c r="F373" s="26">
        <v>8767662</v>
      </c>
      <c r="G373" s="26">
        <v>1791275</v>
      </c>
      <c r="H373" s="26">
        <v>1791275</v>
      </c>
      <c r="I373" s="26">
        <v>1791275</v>
      </c>
      <c r="J373" s="26">
        <v>1791275</v>
      </c>
      <c r="K373" s="26">
        <v>1827301</v>
      </c>
      <c r="L373" s="26">
        <v>1848916</v>
      </c>
      <c r="M373" s="26">
        <v>1825860</v>
      </c>
      <c r="N373" s="26">
        <v>1812026</v>
      </c>
      <c r="O373" s="26">
        <v>1812026</v>
      </c>
      <c r="P373" s="26">
        <v>1849410</v>
      </c>
      <c r="Q373" s="26">
        <v>1867693</v>
      </c>
      <c r="R373" s="26">
        <v>1837126</v>
      </c>
      <c r="S373" s="26">
        <v>1818785</v>
      </c>
      <c r="T373" s="26">
        <v>1818785</v>
      </c>
      <c r="U373" s="26">
        <v>1860399</v>
      </c>
      <c r="V373" s="26">
        <v>1879865</v>
      </c>
    </row>
    <row r="374" spans="1:22" x14ac:dyDescent="0.2">
      <c r="B374" s="4" t="s">
        <v>426</v>
      </c>
      <c r="C374" s="4"/>
      <c r="D374" s="222">
        <v>0</v>
      </c>
      <c r="E374" s="222">
        <v>0</v>
      </c>
      <c r="F374" s="222">
        <v>9537090</v>
      </c>
      <c r="G374" s="222">
        <v>2559246</v>
      </c>
      <c r="H374" s="222">
        <v>1881669</v>
      </c>
      <c r="I374" s="222">
        <v>1881669</v>
      </c>
      <c r="J374" s="222">
        <v>1881669</v>
      </c>
      <c r="K374" s="222">
        <v>1917695</v>
      </c>
      <c r="L374" s="222">
        <v>1939310</v>
      </c>
      <c r="M374" s="222">
        <v>1916254</v>
      </c>
      <c r="N374" s="222">
        <v>1902420</v>
      </c>
      <c r="O374" s="222">
        <v>1902420</v>
      </c>
      <c r="P374" s="222">
        <v>1939804</v>
      </c>
      <c r="Q374" s="222">
        <v>1958087</v>
      </c>
      <c r="R374" s="222">
        <v>1927520</v>
      </c>
      <c r="S374" s="222">
        <v>1909179</v>
      </c>
      <c r="T374" s="222">
        <v>1909179</v>
      </c>
      <c r="U374" s="222">
        <v>1928935</v>
      </c>
      <c r="V374" s="222">
        <v>1894898</v>
      </c>
    </row>
    <row r="375" spans="1:22" x14ac:dyDescent="0.2">
      <c r="A375" s="4"/>
      <c r="B375" s="4"/>
      <c r="C375" s="4"/>
      <c r="D375" s="135"/>
      <c r="E375" s="135"/>
      <c r="F375" s="135"/>
      <c r="G375" s="135"/>
      <c r="H375" s="135"/>
      <c r="I375" s="135"/>
      <c r="J375" s="135"/>
      <c r="K375" s="135"/>
      <c r="L375" s="135"/>
      <c r="M375" s="135"/>
      <c r="N375" s="135"/>
      <c r="O375" s="135"/>
      <c r="P375" s="135"/>
      <c r="Q375" s="135"/>
      <c r="R375" s="135"/>
      <c r="S375" s="135"/>
      <c r="T375" s="135"/>
      <c r="U375" s="135"/>
      <c r="V375" s="135"/>
    </row>
    <row r="376" spans="1:22" ht="15.75" thickBot="1" x14ac:dyDescent="0.25">
      <c r="A376" s="4" t="s">
        <v>427</v>
      </c>
      <c r="B376" s="4"/>
      <c r="C376" s="4"/>
      <c r="D376" s="87">
        <v>0</v>
      </c>
      <c r="E376" s="87">
        <v>-5833</v>
      </c>
      <c r="F376" s="87">
        <v>-9866904</v>
      </c>
      <c r="G376" s="87">
        <v>-2911179</v>
      </c>
      <c r="H376" s="87">
        <v>-2722985</v>
      </c>
      <c r="I376" s="87">
        <v>-2724299</v>
      </c>
      <c r="J376" s="87">
        <v>-2725154</v>
      </c>
      <c r="K376" s="87">
        <v>-2761533</v>
      </c>
      <c r="L376" s="87">
        <v>-2783863</v>
      </c>
      <c r="M376" s="87">
        <v>-2898615</v>
      </c>
      <c r="N376" s="87">
        <v>-2946968</v>
      </c>
      <c r="O376" s="87">
        <v>-2978126</v>
      </c>
      <c r="P376" s="87">
        <v>-3048195</v>
      </c>
      <c r="Q376" s="87">
        <v>-3101569</v>
      </c>
      <c r="R376" s="87">
        <v>-3106869</v>
      </c>
      <c r="S376" s="87">
        <v>-3126050</v>
      </c>
      <c r="T376" s="87">
        <v>-3165269</v>
      </c>
      <c r="U376" s="87">
        <v>-3225986</v>
      </c>
      <c r="V376" s="87">
        <v>-3235659</v>
      </c>
    </row>
    <row r="377" spans="1:22" ht="15.75" thickTop="1" x14ac:dyDescent="0.2">
      <c r="A377" s="4"/>
      <c r="B377" s="4"/>
      <c r="C377" s="4"/>
      <c r="D377" s="259"/>
      <c r="E377" s="259"/>
      <c r="F377" s="259"/>
      <c r="G377" s="259"/>
      <c r="H377" s="259"/>
      <c r="I377" s="259"/>
      <c r="J377" s="259"/>
      <c r="K377" s="259"/>
      <c r="L377" s="259"/>
      <c r="M377" s="259"/>
      <c r="N377" s="259"/>
      <c r="O377" s="259"/>
      <c r="P377" s="259"/>
      <c r="Q377" s="259"/>
      <c r="R377" s="259"/>
      <c r="S377" s="259"/>
      <c r="T377" s="259"/>
      <c r="U377" s="259"/>
      <c r="V377" s="259"/>
    </row>
    <row r="378" spans="1:22" x14ac:dyDescent="0.2">
      <c r="A378" s="4" t="s">
        <v>428</v>
      </c>
      <c r="B378" s="4"/>
      <c r="C378" s="4"/>
      <c r="D378" s="217">
        <v>0</v>
      </c>
      <c r="E378" s="217">
        <v>0</v>
      </c>
      <c r="F378" s="217">
        <v>0</v>
      </c>
      <c r="G378" s="217">
        <v>0</v>
      </c>
      <c r="H378" s="217">
        <v>0</v>
      </c>
      <c r="I378" s="217">
        <v>0</v>
      </c>
      <c r="J378" s="217">
        <v>0</v>
      </c>
      <c r="K378" s="217">
        <v>0</v>
      </c>
      <c r="L378" s="217">
        <v>0</v>
      </c>
      <c r="M378" s="217">
        <v>0</v>
      </c>
      <c r="N378" s="217">
        <v>0</v>
      </c>
      <c r="O378" s="217">
        <v>0</v>
      </c>
      <c r="P378" s="217">
        <v>0</v>
      </c>
      <c r="Q378" s="217">
        <v>0</v>
      </c>
      <c r="R378" s="217">
        <v>0</v>
      </c>
      <c r="S378" s="217">
        <v>0</v>
      </c>
      <c r="T378" s="217">
        <v>0</v>
      </c>
      <c r="U378" s="217">
        <v>0</v>
      </c>
      <c r="V378" s="217">
        <v>0</v>
      </c>
    </row>
    <row r="379" spans="1:22" x14ac:dyDescent="0.2">
      <c r="A379" s="4"/>
      <c r="B379" s="4"/>
      <c r="C379" s="4"/>
      <c r="D379" s="135"/>
      <c r="E379" s="135"/>
      <c r="F379" s="135"/>
      <c r="G379" s="135"/>
      <c r="H379" s="135"/>
      <c r="I379" s="135"/>
      <c r="J379" s="135"/>
      <c r="K379" s="135"/>
      <c r="L379" s="135"/>
      <c r="M379" s="135"/>
      <c r="N379" s="135"/>
      <c r="O379" s="135"/>
      <c r="P379" s="135"/>
      <c r="Q379" s="135"/>
      <c r="R379" s="135"/>
      <c r="S379" s="135"/>
      <c r="T379" s="135"/>
      <c r="U379" s="135"/>
      <c r="V379" s="135"/>
    </row>
    <row r="380" spans="1:22" x14ac:dyDescent="0.2">
      <c r="A380" s="4" t="s">
        <v>429</v>
      </c>
      <c r="B380" s="4"/>
      <c r="C380" s="4"/>
      <c r="D380" s="26">
        <v>0</v>
      </c>
      <c r="E380" s="26">
        <v>-5832</v>
      </c>
      <c r="F380" s="26">
        <v>-9865917</v>
      </c>
      <c r="G380" s="26">
        <v>-2910888</v>
      </c>
      <c r="H380" s="26">
        <v>-2722713</v>
      </c>
      <c r="I380" s="26">
        <v>-2724027</v>
      </c>
      <c r="J380" s="26">
        <v>-2724881</v>
      </c>
      <c r="K380" s="26">
        <v>-2761257</v>
      </c>
      <c r="L380" s="26">
        <v>-2783585</v>
      </c>
      <c r="M380" s="26">
        <v>-2898325</v>
      </c>
      <c r="N380" s="26">
        <v>-2946673</v>
      </c>
      <c r="O380" s="26">
        <v>-2977828</v>
      </c>
      <c r="P380" s="26">
        <v>-3047890</v>
      </c>
      <c r="Q380" s="26">
        <v>-3101259</v>
      </c>
      <c r="R380" s="26">
        <v>-3106558</v>
      </c>
      <c r="S380" s="26">
        <v>-3125737</v>
      </c>
      <c r="T380" s="26">
        <v>-3164952</v>
      </c>
      <c r="U380" s="26">
        <v>-3225663</v>
      </c>
      <c r="V380" s="26">
        <v>-3235335</v>
      </c>
    </row>
    <row r="381" spans="1:22" x14ac:dyDescent="0.2">
      <c r="A381" s="4"/>
      <c r="B381" s="4"/>
      <c r="C381" s="4"/>
      <c r="D381" s="135"/>
      <c r="E381" s="135"/>
      <c r="F381" s="135"/>
      <c r="G381" s="135"/>
      <c r="H381" s="135"/>
      <c r="I381" s="135"/>
      <c r="J381" s="135"/>
      <c r="K381" s="135"/>
      <c r="L381" s="135"/>
      <c r="M381" s="135"/>
      <c r="N381" s="135"/>
      <c r="O381" s="135"/>
      <c r="P381" s="135"/>
      <c r="Q381" s="135"/>
      <c r="R381" s="135"/>
      <c r="S381" s="135"/>
      <c r="T381" s="135"/>
      <c r="U381" s="135"/>
      <c r="V381" s="135"/>
    </row>
    <row r="382" spans="1:22" x14ac:dyDescent="0.2">
      <c r="A382" s="4" t="s">
        <v>430</v>
      </c>
      <c r="B382" s="4"/>
      <c r="C382" s="4"/>
      <c r="D382" s="135">
        <v>0</v>
      </c>
      <c r="E382" s="135">
        <v>0</v>
      </c>
      <c r="F382" s="135">
        <v>0</v>
      </c>
      <c r="G382" s="135">
        <v>0</v>
      </c>
      <c r="H382" s="135">
        <v>0</v>
      </c>
      <c r="I382" s="135">
        <v>0</v>
      </c>
      <c r="J382" s="135">
        <v>0</v>
      </c>
      <c r="K382" s="135">
        <v>0</v>
      </c>
      <c r="L382" s="135">
        <v>0</v>
      </c>
      <c r="M382" s="135">
        <v>0</v>
      </c>
      <c r="N382" s="135">
        <v>0</v>
      </c>
      <c r="O382" s="135">
        <v>0</v>
      </c>
      <c r="P382" s="135">
        <v>0</v>
      </c>
      <c r="Q382" s="135">
        <v>0</v>
      </c>
      <c r="R382" s="135">
        <v>0</v>
      </c>
      <c r="S382" s="135">
        <v>0</v>
      </c>
      <c r="T382" s="135">
        <v>0</v>
      </c>
      <c r="U382" s="135">
        <v>0</v>
      </c>
      <c r="V382" s="135">
        <v>0</v>
      </c>
    </row>
    <row r="383" spans="1:22" x14ac:dyDescent="0.2">
      <c r="A383" s="4"/>
      <c r="B383" s="4"/>
      <c r="C383" s="4"/>
      <c r="D383" s="135"/>
      <c r="E383" s="135"/>
      <c r="F383" s="135"/>
      <c r="G383" s="135"/>
      <c r="H383" s="135"/>
      <c r="I383" s="135"/>
      <c r="J383" s="135"/>
      <c r="K383" s="135"/>
      <c r="L383" s="135"/>
      <c r="M383" s="135"/>
      <c r="N383" s="135"/>
      <c r="O383" s="135"/>
      <c r="P383" s="135"/>
      <c r="Q383" s="135"/>
      <c r="R383" s="135"/>
      <c r="S383" s="135"/>
      <c r="T383" s="135"/>
      <c r="U383" s="135"/>
      <c r="V383" s="135"/>
    </row>
    <row r="384" spans="1:22" ht="15.75" thickBot="1" x14ac:dyDescent="0.25">
      <c r="A384" s="4" t="s">
        <v>431</v>
      </c>
      <c r="B384" s="4"/>
      <c r="C384" s="4"/>
      <c r="D384" s="87">
        <v>0</v>
      </c>
      <c r="E384" s="87">
        <v>-5832</v>
      </c>
      <c r="F384" s="87">
        <v>-9865917</v>
      </c>
      <c r="G384" s="87">
        <v>-2910888</v>
      </c>
      <c r="H384" s="87">
        <v>-2722713</v>
      </c>
      <c r="I384" s="87">
        <v>-2724027</v>
      </c>
      <c r="J384" s="87">
        <v>-2724881</v>
      </c>
      <c r="K384" s="87">
        <v>-2761257</v>
      </c>
      <c r="L384" s="87">
        <v>-2783585</v>
      </c>
      <c r="M384" s="87">
        <v>-2898325</v>
      </c>
      <c r="N384" s="87">
        <v>-2946673</v>
      </c>
      <c r="O384" s="87">
        <v>-2977828</v>
      </c>
      <c r="P384" s="87">
        <v>-3047890</v>
      </c>
      <c r="Q384" s="87">
        <v>-3101259</v>
      </c>
      <c r="R384" s="87">
        <v>-3106558</v>
      </c>
      <c r="S384" s="87">
        <v>-3125737</v>
      </c>
      <c r="T384" s="87">
        <v>-3164952</v>
      </c>
      <c r="U384" s="87">
        <v>-3225663</v>
      </c>
      <c r="V384" s="87">
        <v>-3235335</v>
      </c>
    </row>
    <row r="385" spans="1:22" ht="15.75" thickTop="1" x14ac:dyDescent="0.2">
      <c r="A385" s="4"/>
      <c r="B385" s="4"/>
      <c r="C385" s="4"/>
      <c r="D385" s="260"/>
      <c r="E385" s="260"/>
      <c r="F385" s="260"/>
      <c r="G385" s="260"/>
      <c r="H385" s="260"/>
      <c r="I385" s="260"/>
      <c r="J385" s="260"/>
      <c r="K385" s="260"/>
      <c r="L385" s="260"/>
      <c r="M385" s="260"/>
      <c r="N385" s="260"/>
      <c r="O385" s="260"/>
      <c r="P385" s="260"/>
      <c r="Q385" s="260"/>
      <c r="R385" s="260"/>
      <c r="S385" s="260"/>
      <c r="T385" s="260"/>
      <c r="U385" s="260"/>
      <c r="V385" s="260"/>
    </row>
    <row r="386" spans="1:22" ht="15.75" thickBot="1" x14ac:dyDescent="0.25">
      <c r="A386" s="4" t="s">
        <v>432</v>
      </c>
      <c r="B386" s="4"/>
      <c r="C386" s="4"/>
      <c r="D386" s="261">
        <v>0</v>
      </c>
      <c r="E386" s="261">
        <v>-5832</v>
      </c>
      <c r="F386" s="261">
        <v>-9871749</v>
      </c>
      <c r="G386" s="261">
        <v>-12782637</v>
      </c>
      <c r="H386" s="261">
        <v>-15505350</v>
      </c>
      <c r="I386" s="261">
        <v>-18229377</v>
      </c>
      <c r="J386" s="261">
        <v>-20954258</v>
      </c>
      <c r="K386" s="261">
        <v>-23715515</v>
      </c>
      <c r="L386" s="261">
        <v>-26499100</v>
      </c>
      <c r="M386" s="261">
        <v>-29397425</v>
      </c>
      <c r="N386" s="261">
        <v>-32344098</v>
      </c>
      <c r="O386" s="261">
        <v>-35321926</v>
      </c>
      <c r="P386" s="261">
        <v>-38369816</v>
      </c>
      <c r="Q386" s="261">
        <v>-41471075</v>
      </c>
      <c r="R386" s="261">
        <v>-44577633</v>
      </c>
      <c r="S386" s="261">
        <v>-47703370</v>
      </c>
      <c r="T386" s="261">
        <v>-50868322</v>
      </c>
      <c r="U386" s="261">
        <v>-54093985</v>
      </c>
      <c r="V386" s="261">
        <v>-57329320</v>
      </c>
    </row>
    <row r="387" spans="1:22" ht="16.5" thickTop="1" thickBot="1" x14ac:dyDescent="0.25">
      <c r="A387" s="4"/>
      <c r="B387" s="4"/>
      <c r="C387" s="4"/>
      <c r="D387" s="259"/>
      <c r="E387" s="259"/>
      <c r="F387" s="259"/>
      <c r="G387" s="259"/>
      <c r="H387" s="259"/>
      <c r="I387" s="259"/>
      <c r="J387" s="259"/>
      <c r="K387" s="259"/>
      <c r="L387" s="259"/>
      <c r="M387" s="259"/>
      <c r="N387" s="259"/>
      <c r="O387" s="259"/>
      <c r="P387" s="259"/>
      <c r="Q387" s="259"/>
      <c r="R387" s="259"/>
      <c r="S387" s="259"/>
      <c r="T387" s="259"/>
      <c r="U387" s="259"/>
      <c r="V387" s="259"/>
    </row>
    <row r="388" spans="1:22" x14ac:dyDescent="0.2">
      <c r="A388" s="155" t="s">
        <v>433</v>
      </c>
      <c r="B388" s="262"/>
      <c r="C388" s="262"/>
      <c r="D388" s="263"/>
      <c r="E388" s="263"/>
      <c r="F388" s="263"/>
      <c r="G388" s="263"/>
      <c r="H388" s="263"/>
      <c r="I388" s="263"/>
      <c r="J388" s="263"/>
      <c r="K388" s="263"/>
      <c r="L388" s="263"/>
      <c r="M388" s="263"/>
      <c r="N388" s="263"/>
      <c r="O388" s="263"/>
      <c r="P388" s="263"/>
      <c r="Q388" s="263"/>
      <c r="R388" s="263"/>
      <c r="S388" s="263"/>
      <c r="T388" s="263"/>
      <c r="U388" s="263"/>
      <c r="V388" s="263"/>
    </row>
    <row r="389" spans="1:22" x14ac:dyDescent="0.2">
      <c r="A389" s="180" t="s">
        <v>434</v>
      </c>
      <c r="B389" s="4"/>
      <c r="C389" s="4"/>
      <c r="D389" s="26">
        <v>0</v>
      </c>
      <c r="E389" s="26">
        <v>0</v>
      </c>
      <c r="F389" s="26">
        <v>0</v>
      </c>
      <c r="G389" s="26">
        <v>1767000</v>
      </c>
      <c r="H389" s="26">
        <v>1767000</v>
      </c>
      <c r="I389" s="26">
        <v>1767000</v>
      </c>
      <c r="J389" s="26">
        <v>1767000</v>
      </c>
      <c r="K389" s="26">
        <v>1767000</v>
      </c>
      <c r="L389" s="26">
        <v>1767000</v>
      </c>
      <c r="M389" s="26">
        <v>1767000</v>
      </c>
      <c r="N389" s="26">
        <v>1767000</v>
      </c>
      <c r="O389" s="26">
        <v>1767000</v>
      </c>
      <c r="P389" s="26">
        <v>1767000</v>
      </c>
      <c r="Q389" s="26">
        <v>0</v>
      </c>
      <c r="R389" s="26">
        <v>0</v>
      </c>
      <c r="S389" s="26">
        <v>0</v>
      </c>
      <c r="T389" s="26">
        <v>0</v>
      </c>
      <c r="U389" s="26">
        <v>0</v>
      </c>
      <c r="V389" s="26">
        <v>0</v>
      </c>
    </row>
    <row r="390" spans="1:22" ht="15.75" thickBot="1" x14ac:dyDescent="0.25">
      <c r="A390" s="180"/>
      <c r="B390" s="4" t="s">
        <v>435</v>
      </c>
      <c r="C390" s="4"/>
      <c r="D390" s="264">
        <v>0</v>
      </c>
      <c r="E390" s="264">
        <v>0</v>
      </c>
      <c r="F390" s="264">
        <v>0</v>
      </c>
      <c r="G390" s="264">
        <v>1766823</v>
      </c>
      <c r="H390" s="264">
        <v>1766823</v>
      </c>
      <c r="I390" s="264">
        <v>1766823</v>
      </c>
      <c r="J390" s="264">
        <v>1766823</v>
      </c>
      <c r="K390" s="264">
        <v>1766823</v>
      </c>
      <c r="L390" s="264">
        <v>1766823</v>
      </c>
      <c r="M390" s="264">
        <v>1766823</v>
      </c>
      <c r="N390" s="264">
        <v>1766823</v>
      </c>
      <c r="O390" s="264">
        <v>1766823</v>
      </c>
      <c r="P390" s="264">
        <v>1766823</v>
      </c>
      <c r="Q390" s="264">
        <v>0</v>
      </c>
      <c r="R390" s="264">
        <v>0</v>
      </c>
      <c r="S390" s="264">
        <v>0</v>
      </c>
      <c r="T390" s="264">
        <v>0</v>
      </c>
      <c r="U390" s="264">
        <v>0</v>
      </c>
      <c r="V390" s="264">
        <v>0</v>
      </c>
    </row>
    <row r="391" spans="1:22" ht="16.5" thickTop="1" thickBot="1" x14ac:dyDescent="0.25">
      <c r="A391" s="208"/>
      <c r="B391" s="146"/>
      <c r="C391" s="146"/>
      <c r="D391" s="265"/>
      <c r="E391" s="265"/>
      <c r="F391" s="265"/>
      <c r="G391" s="265"/>
      <c r="H391" s="265"/>
      <c r="I391" s="265"/>
      <c r="J391" s="265"/>
      <c r="K391" s="265"/>
      <c r="L391" s="265"/>
      <c r="M391" s="265"/>
      <c r="N391" s="265"/>
      <c r="O391" s="265"/>
      <c r="P391" s="265"/>
      <c r="Q391" s="265"/>
      <c r="R391" s="265"/>
      <c r="S391" s="265"/>
      <c r="T391" s="265"/>
      <c r="U391" s="265"/>
      <c r="V391" s="265"/>
    </row>
    <row r="392" spans="1:22" x14ac:dyDescent="0.2">
      <c r="A392" s="155" t="s">
        <v>436</v>
      </c>
      <c r="B392" s="262"/>
      <c r="C392" s="262"/>
      <c r="D392" s="266">
        <v>0</v>
      </c>
      <c r="E392" s="266">
        <v>0</v>
      </c>
      <c r="F392" s="266">
        <v>0</v>
      </c>
      <c r="G392" s="266">
        <v>0</v>
      </c>
      <c r="H392" s="266">
        <v>0</v>
      </c>
      <c r="I392" s="266">
        <v>0</v>
      </c>
      <c r="J392" s="266">
        <v>0</v>
      </c>
      <c r="K392" s="266">
        <v>0</v>
      </c>
      <c r="L392" s="266">
        <v>0</v>
      </c>
      <c r="M392" s="266">
        <v>0</v>
      </c>
      <c r="N392" s="266">
        <v>0</v>
      </c>
      <c r="O392" s="266">
        <v>0</v>
      </c>
      <c r="P392" s="266">
        <v>0</v>
      </c>
      <c r="Q392" s="266">
        <v>0</v>
      </c>
      <c r="R392" s="266">
        <v>0</v>
      </c>
      <c r="S392" s="266">
        <v>0</v>
      </c>
      <c r="T392" s="266">
        <v>0</v>
      </c>
      <c r="U392" s="266">
        <v>0</v>
      </c>
      <c r="V392" s="266">
        <v>0</v>
      </c>
    </row>
    <row r="393" spans="1:22" ht="15.75" thickBot="1" x14ac:dyDescent="0.25">
      <c r="A393" s="180"/>
      <c r="B393" s="4" t="s">
        <v>435</v>
      </c>
      <c r="C393" s="4"/>
      <c r="D393" s="264">
        <v>0</v>
      </c>
      <c r="E393" s="264">
        <v>0</v>
      </c>
      <c r="F393" s="264">
        <v>0</v>
      </c>
      <c r="G393" s="264">
        <v>0</v>
      </c>
      <c r="H393" s="264">
        <v>0</v>
      </c>
      <c r="I393" s="264">
        <v>0</v>
      </c>
      <c r="J393" s="264">
        <v>0</v>
      </c>
      <c r="K393" s="264">
        <v>0</v>
      </c>
      <c r="L393" s="264">
        <v>0</v>
      </c>
      <c r="M393" s="264">
        <v>0</v>
      </c>
      <c r="N393" s="264">
        <v>0</v>
      </c>
      <c r="O393" s="264">
        <v>0</v>
      </c>
      <c r="P393" s="264">
        <v>0</v>
      </c>
      <c r="Q393" s="264">
        <v>0</v>
      </c>
      <c r="R393" s="264">
        <v>0</v>
      </c>
      <c r="S393" s="264">
        <v>0</v>
      </c>
      <c r="T393" s="264">
        <v>0</v>
      </c>
      <c r="U393" s="264">
        <v>0</v>
      </c>
      <c r="V393" s="264">
        <v>0</v>
      </c>
    </row>
    <row r="394" spans="1:22" ht="16.5" thickTop="1" thickBot="1" x14ac:dyDescent="0.25">
      <c r="A394" s="208"/>
      <c r="B394" s="146"/>
      <c r="C394" s="146"/>
      <c r="D394" s="265"/>
      <c r="E394" s="265"/>
      <c r="F394" s="265"/>
      <c r="G394" s="265"/>
      <c r="H394" s="265"/>
      <c r="I394" s="265"/>
      <c r="J394" s="265"/>
      <c r="K394" s="265"/>
      <c r="L394" s="265"/>
      <c r="M394" s="265"/>
      <c r="N394" s="265"/>
      <c r="O394" s="265"/>
      <c r="P394" s="265"/>
      <c r="Q394" s="265"/>
      <c r="R394" s="265"/>
      <c r="S394" s="265"/>
      <c r="T394" s="265"/>
      <c r="U394" s="265"/>
      <c r="V394" s="265"/>
    </row>
    <row r="395" spans="1:22" x14ac:dyDescent="0.2">
      <c r="A395" s="155" t="s">
        <v>146</v>
      </c>
      <c r="B395" s="262"/>
      <c r="C395" s="262"/>
      <c r="D395" s="266">
        <v>0</v>
      </c>
      <c r="E395" s="266">
        <v>0</v>
      </c>
      <c r="F395" s="266">
        <v>0</v>
      </c>
      <c r="G395" s="266">
        <v>0</v>
      </c>
      <c r="H395" s="266">
        <v>0</v>
      </c>
      <c r="I395" s="266">
        <v>0</v>
      </c>
      <c r="J395" s="266">
        <v>0</v>
      </c>
      <c r="K395" s="266">
        <v>0</v>
      </c>
      <c r="L395" s="266">
        <v>0</v>
      </c>
      <c r="M395" s="266">
        <v>0</v>
      </c>
      <c r="N395" s="266">
        <v>0</v>
      </c>
      <c r="O395" s="266">
        <v>0</v>
      </c>
      <c r="P395" s="266">
        <v>0</v>
      </c>
      <c r="Q395" s="266">
        <v>0</v>
      </c>
      <c r="R395" s="266">
        <v>0</v>
      </c>
      <c r="S395" s="266">
        <v>0</v>
      </c>
      <c r="T395" s="266">
        <v>0</v>
      </c>
      <c r="U395" s="266">
        <v>0</v>
      </c>
      <c r="V395" s="266">
        <v>0</v>
      </c>
    </row>
    <row r="396" spans="1:22" ht="15.75" thickBot="1" x14ac:dyDescent="0.25">
      <c r="A396" s="180"/>
      <c r="B396" s="4" t="s">
        <v>435</v>
      </c>
      <c r="C396" s="4"/>
      <c r="D396" s="264">
        <v>0</v>
      </c>
      <c r="E396" s="264">
        <v>0</v>
      </c>
      <c r="F396" s="264">
        <v>0</v>
      </c>
      <c r="G396" s="264">
        <v>0</v>
      </c>
      <c r="H396" s="264">
        <v>0</v>
      </c>
      <c r="I396" s="264">
        <v>0</v>
      </c>
      <c r="J396" s="264">
        <v>0</v>
      </c>
      <c r="K396" s="264">
        <v>0</v>
      </c>
      <c r="L396" s="264">
        <v>0</v>
      </c>
      <c r="M396" s="264">
        <v>0</v>
      </c>
      <c r="N396" s="264">
        <v>0</v>
      </c>
      <c r="O396" s="264">
        <v>0</v>
      </c>
      <c r="P396" s="264">
        <v>0</v>
      </c>
      <c r="Q396" s="264">
        <v>0</v>
      </c>
      <c r="R396" s="264">
        <v>0</v>
      </c>
      <c r="S396" s="264">
        <v>0</v>
      </c>
      <c r="T396" s="264">
        <v>0</v>
      </c>
      <c r="U396" s="264">
        <v>0</v>
      </c>
      <c r="V396" s="264">
        <v>0</v>
      </c>
    </row>
    <row r="397" spans="1:22" ht="16.5" thickTop="1" thickBot="1" x14ac:dyDescent="0.25">
      <c r="A397" s="208"/>
      <c r="B397" s="146"/>
      <c r="C397" s="146"/>
      <c r="D397" s="265"/>
      <c r="E397" s="265"/>
      <c r="F397" s="265"/>
      <c r="G397" s="265"/>
      <c r="H397" s="265"/>
      <c r="I397" s="265"/>
      <c r="J397" s="265"/>
      <c r="K397" s="265"/>
      <c r="L397" s="265"/>
      <c r="M397" s="265"/>
      <c r="N397" s="265"/>
      <c r="O397" s="265"/>
      <c r="P397" s="265"/>
      <c r="Q397" s="265"/>
      <c r="R397" s="265"/>
      <c r="S397" s="265"/>
      <c r="T397" s="265"/>
      <c r="U397" s="265"/>
      <c r="V397" s="265"/>
    </row>
    <row r="398" spans="1:22" x14ac:dyDescent="0.2">
      <c r="A398" s="155" t="s">
        <v>147</v>
      </c>
      <c r="B398" s="262"/>
      <c r="C398" s="262"/>
      <c r="D398" s="266">
        <v>0</v>
      </c>
      <c r="E398" s="266">
        <v>0</v>
      </c>
      <c r="F398" s="266">
        <v>0</v>
      </c>
      <c r="G398" s="266">
        <v>0</v>
      </c>
      <c r="H398" s="266">
        <v>0</v>
      </c>
      <c r="I398" s="266">
        <v>0</v>
      </c>
      <c r="J398" s="266">
        <v>0</v>
      </c>
      <c r="K398" s="266">
        <v>0</v>
      </c>
      <c r="L398" s="266">
        <v>0</v>
      </c>
      <c r="M398" s="266">
        <v>0</v>
      </c>
      <c r="N398" s="266">
        <v>0</v>
      </c>
      <c r="O398" s="266">
        <v>0</v>
      </c>
      <c r="P398" s="266">
        <v>0</v>
      </c>
      <c r="Q398" s="266">
        <v>0</v>
      </c>
      <c r="R398" s="266">
        <v>0</v>
      </c>
      <c r="S398" s="266">
        <v>0</v>
      </c>
      <c r="T398" s="266">
        <v>0</v>
      </c>
      <c r="U398" s="266">
        <v>0</v>
      </c>
      <c r="V398" s="266">
        <v>0</v>
      </c>
    </row>
    <row r="399" spans="1:22" ht="15.75" thickBot="1" x14ac:dyDescent="0.25">
      <c r="A399" s="180"/>
      <c r="B399" s="4" t="s">
        <v>435</v>
      </c>
      <c r="C399" s="4"/>
      <c r="D399" s="264">
        <v>0</v>
      </c>
      <c r="E399" s="264">
        <v>0</v>
      </c>
      <c r="F399" s="264">
        <v>0</v>
      </c>
      <c r="G399" s="264">
        <v>0</v>
      </c>
      <c r="H399" s="264">
        <v>0</v>
      </c>
      <c r="I399" s="264">
        <v>0</v>
      </c>
      <c r="J399" s="264">
        <v>0</v>
      </c>
      <c r="K399" s="264">
        <v>0</v>
      </c>
      <c r="L399" s="264">
        <v>0</v>
      </c>
      <c r="M399" s="264">
        <v>0</v>
      </c>
      <c r="N399" s="264">
        <v>0</v>
      </c>
      <c r="O399" s="264">
        <v>0</v>
      </c>
      <c r="P399" s="264">
        <v>0</v>
      </c>
      <c r="Q399" s="264">
        <v>0</v>
      </c>
      <c r="R399" s="264">
        <v>0</v>
      </c>
      <c r="S399" s="264">
        <v>0</v>
      </c>
      <c r="T399" s="264">
        <v>0</v>
      </c>
      <c r="U399" s="264">
        <v>0</v>
      </c>
      <c r="V399" s="264">
        <v>0</v>
      </c>
    </row>
    <row r="400" spans="1:22" ht="16.5" thickTop="1" thickBot="1" x14ac:dyDescent="0.25">
      <c r="A400" s="180"/>
      <c r="B400" s="4"/>
      <c r="C400" s="4"/>
      <c r="D400" s="267"/>
      <c r="E400" s="267"/>
      <c r="F400" s="267"/>
      <c r="G400" s="267"/>
      <c r="H400" s="267"/>
      <c r="I400" s="267"/>
      <c r="J400" s="267"/>
      <c r="K400" s="267"/>
      <c r="L400" s="267"/>
      <c r="M400" s="267"/>
      <c r="N400" s="267"/>
      <c r="O400" s="267"/>
      <c r="P400" s="267"/>
      <c r="Q400" s="267"/>
      <c r="R400" s="267"/>
      <c r="S400" s="267"/>
      <c r="T400" s="267"/>
      <c r="U400" s="267"/>
      <c r="V400" s="267"/>
    </row>
    <row r="401" spans="1:30" x14ac:dyDescent="0.2">
      <c r="A401" s="180" t="s">
        <v>148</v>
      </c>
      <c r="B401" s="4"/>
      <c r="C401" s="4"/>
      <c r="D401" s="266">
        <v>0</v>
      </c>
      <c r="E401" s="266">
        <v>0</v>
      </c>
      <c r="F401" s="266">
        <v>0</v>
      </c>
      <c r="G401" s="266">
        <v>0</v>
      </c>
      <c r="H401" s="266">
        <v>0</v>
      </c>
      <c r="I401" s="266">
        <v>0</v>
      </c>
      <c r="J401" s="266">
        <v>0</v>
      </c>
      <c r="K401" s="266">
        <v>0</v>
      </c>
      <c r="L401" s="266">
        <v>0</v>
      </c>
      <c r="M401" s="266">
        <v>0</v>
      </c>
      <c r="N401" s="266">
        <v>0</v>
      </c>
      <c r="O401" s="266">
        <v>0</v>
      </c>
      <c r="P401" s="266">
        <v>0</v>
      </c>
      <c r="Q401" s="266">
        <v>0</v>
      </c>
      <c r="R401" s="266">
        <v>0</v>
      </c>
      <c r="S401" s="266">
        <v>0</v>
      </c>
      <c r="T401" s="266">
        <v>0</v>
      </c>
      <c r="U401" s="266">
        <v>0</v>
      </c>
      <c r="V401" s="266">
        <v>0</v>
      </c>
    </row>
    <row r="402" spans="1:30" ht="15.75" thickBot="1" x14ac:dyDescent="0.25">
      <c r="A402" s="180"/>
      <c r="B402" s="4" t="s">
        <v>435</v>
      </c>
      <c r="C402" s="4"/>
      <c r="D402" s="264">
        <v>0</v>
      </c>
      <c r="E402" s="264">
        <v>0</v>
      </c>
      <c r="F402" s="264">
        <v>0</v>
      </c>
      <c r="G402" s="264">
        <v>0</v>
      </c>
      <c r="H402" s="264">
        <v>0</v>
      </c>
      <c r="I402" s="264">
        <v>0</v>
      </c>
      <c r="J402" s="264">
        <v>0</v>
      </c>
      <c r="K402" s="264">
        <v>0</v>
      </c>
      <c r="L402" s="264">
        <v>0</v>
      </c>
      <c r="M402" s="264">
        <v>0</v>
      </c>
      <c r="N402" s="264">
        <v>0</v>
      </c>
      <c r="O402" s="264">
        <v>0</v>
      </c>
      <c r="P402" s="264">
        <v>0</v>
      </c>
      <c r="Q402" s="264">
        <v>0</v>
      </c>
      <c r="R402" s="264">
        <v>0</v>
      </c>
      <c r="S402" s="264">
        <v>0</v>
      </c>
      <c r="T402" s="264">
        <v>0</v>
      </c>
      <c r="U402" s="264">
        <v>0</v>
      </c>
      <c r="V402" s="264">
        <v>0</v>
      </c>
    </row>
    <row r="403" spans="1:30" ht="15.75" thickTop="1" x14ac:dyDescent="0.2">
      <c r="A403" s="180"/>
      <c r="B403" s="4"/>
      <c r="C403" s="4"/>
      <c r="D403" s="259"/>
      <c r="E403" s="259"/>
      <c r="F403" s="259"/>
      <c r="G403" s="259"/>
      <c r="H403" s="259"/>
      <c r="I403" s="259"/>
      <c r="J403" s="259"/>
      <c r="K403" s="259"/>
      <c r="L403" s="259"/>
      <c r="M403" s="259"/>
      <c r="N403" s="259"/>
      <c r="O403" s="259"/>
      <c r="P403" s="259"/>
      <c r="Q403" s="259"/>
      <c r="R403" s="259"/>
      <c r="S403" s="259"/>
      <c r="T403" s="259"/>
      <c r="U403" s="259"/>
      <c r="V403" s="259"/>
    </row>
    <row r="404" spans="1:30" ht="15.75" thickBot="1" x14ac:dyDescent="0.25">
      <c r="A404" s="180" t="s">
        <v>437</v>
      </c>
      <c r="B404" s="4"/>
      <c r="C404" s="4"/>
      <c r="D404" s="87">
        <v>0</v>
      </c>
      <c r="E404" s="87">
        <v>0</v>
      </c>
      <c r="F404" s="87">
        <v>0</v>
      </c>
      <c r="G404" s="87">
        <v>0</v>
      </c>
      <c r="H404" s="87">
        <v>0</v>
      </c>
      <c r="I404" s="87">
        <v>0</v>
      </c>
      <c r="J404" s="87">
        <v>0</v>
      </c>
      <c r="K404" s="87">
        <v>0</v>
      </c>
      <c r="L404" s="87">
        <v>0</v>
      </c>
      <c r="M404" s="87">
        <v>0</v>
      </c>
      <c r="N404" s="87">
        <v>0</v>
      </c>
      <c r="O404" s="87">
        <v>0</v>
      </c>
      <c r="P404" s="87">
        <v>0</v>
      </c>
      <c r="Q404" s="87">
        <v>0</v>
      </c>
      <c r="R404" s="87">
        <v>0</v>
      </c>
      <c r="S404" s="87">
        <v>0</v>
      </c>
      <c r="T404" s="87">
        <v>0</v>
      </c>
      <c r="U404" s="87">
        <v>0</v>
      </c>
      <c r="V404" s="87">
        <v>0</v>
      </c>
    </row>
    <row r="405" spans="1:30" ht="16.5" thickTop="1" thickBot="1" x14ac:dyDescent="0.25">
      <c r="A405" s="208"/>
      <c r="B405" s="146"/>
      <c r="C405" s="146"/>
      <c r="D405" s="265"/>
      <c r="E405" s="265"/>
      <c r="F405" s="265"/>
      <c r="G405" s="265"/>
      <c r="H405" s="265"/>
      <c r="I405" s="265"/>
      <c r="J405" s="265"/>
      <c r="K405" s="265"/>
      <c r="L405" s="265"/>
      <c r="M405" s="265"/>
      <c r="N405" s="265"/>
      <c r="O405" s="265"/>
      <c r="P405" s="265"/>
      <c r="Q405" s="265"/>
      <c r="R405" s="265"/>
      <c r="S405" s="265"/>
      <c r="T405" s="265"/>
      <c r="U405" s="265"/>
      <c r="V405" s="265"/>
    </row>
    <row r="406" spans="1:30" s="132" customFormat="1" ht="15.75" thickBot="1" x14ac:dyDescent="0.25"/>
    <row r="407" spans="1:30" x14ac:dyDescent="0.2">
      <c r="A407" s="4"/>
      <c r="B407" s="4"/>
      <c r="C407" s="4"/>
      <c r="D407" s="4"/>
      <c r="E407" s="4"/>
      <c r="F407" s="4"/>
      <c r="G407" s="4"/>
      <c r="H407" s="4"/>
      <c r="I407" s="4"/>
      <c r="J407" s="4"/>
      <c r="K407" s="4"/>
      <c r="L407" s="4"/>
      <c r="M407" s="4"/>
      <c r="N407" s="4"/>
      <c r="O407" s="4"/>
      <c r="P407" s="4"/>
      <c r="Q407" s="4"/>
      <c r="R407" s="268" t="s">
        <v>438</v>
      </c>
      <c r="S407" s="269">
        <v>46174</v>
      </c>
      <c r="AD407" s="89"/>
    </row>
    <row r="408" spans="1:30" ht="11.25" customHeight="1" x14ac:dyDescent="0.2">
      <c r="A408" s="88"/>
      <c r="B408" s="88"/>
      <c r="C408" s="89"/>
      <c r="D408" s="89" t="s">
        <v>439</v>
      </c>
      <c r="E408" s="89" t="s">
        <v>440</v>
      </c>
      <c r="F408" s="89" t="s">
        <v>440</v>
      </c>
      <c r="G408" s="89" t="s">
        <v>440</v>
      </c>
      <c r="H408" s="89" t="s">
        <v>440</v>
      </c>
      <c r="I408" s="89" t="s">
        <v>440</v>
      </c>
      <c r="J408" s="89" t="s">
        <v>441</v>
      </c>
      <c r="K408" s="89" t="s">
        <v>440</v>
      </c>
      <c r="L408" s="270">
        <v>0</v>
      </c>
      <c r="M408" s="89" t="s">
        <v>176</v>
      </c>
      <c r="N408" s="89" t="s">
        <v>358</v>
      </c>
      <c r="O408" s="89"/>
      <c r="P408" s="89"/>
      <c r="Q408" s="89"/>
      <c r="R408" s="271" t="s">
        <v>315</v>
      </c>
      <c r="S408" s="272">
        <v>2026</v>
      </c>
      <c r="U408" s="270">
        <v>0</v>
      </c>
      <c r="V408" s="270"/>
    </row>
    <row r="409" spans="1:30" ht="11.25" customHeight="1" x14ac:dyDescent="0.2">
      <c r="A409" s="89"/>
      <c r="B409" s="89"/>
      <c r="C409" s="89" t="s">
        <v>440</v>
      </c>
      <c r="D409" s="89" t="s">
        <v>442</v>
      </c>
      <c r="E409" s="89" t="s">
        <v>443</v>
      </c>
      <c r="F409" s="89" t="s">
        <v>444</v>
      </c>
      <c r="G409" s="89" t="s">
        <v>445</v>
      </c>
      <c r="H409" s="89" t="s">
        <v>230</v>
      </c>
      <c r="I409" s="89" t="s">
        <v>87</v>
      </c>
      <c r="J409" s="89" t="s">
        <v>446</v>
      </c>
      <c r="K409" s="89" t="s">
        <v>176</v>
      </c>
      <c r="L409" s="89" t="s">
        <v>440</v>
      </c>
      <c r="M409" s="89" t="s">
        <v>447</v>
      </c>
      <c r="N409" s="89" t="s">
        <v>448</v>
      </c>
      <c r="O409" s="89"/>
      <c r="P409" s="89" t="s">
        <v>449</v>
      </c>
      <c r="Q409" s="89"/>
      <c r="R409" s="271" t="s">
        <v>272</v>
      </c>
      <c r="S409" s="272">
        <v>6</v>
      </c>
      <c r="U409" s="89" t="s">
        <v>440</v>
      </c>
      <c r="V409" s="89" t="s">
        <v>349</v>
      </c>
    </row>
    <row r="410" spans="1:30" ht="11.25" customHeight="1" x14ac:dyDescent="0.2">
      <c r="A410" s="89"/>
      <c r="B410" s="89" t="s">
        <v>266</v>
      </c>
      <c r="C410" s="89" t="s">
        <v>129</v>
      </c>
      <c r="D410" s="89" t="s">
        <v>149</v>
      </c>
      <c r="E410" s="89" t="s">
        <v>450</v>
      </c>
      <c r="F410" s="89" t="s">
        <v>451</v>
      </c>
      <c r="G410" s="89" t="s">
        <v>452</v>
      </c>
      <c r="H410" s="89" t="s">
        <v>443</v>
      </c>
      <c r="I410" s="89" t="s">
        <v>443</v>
      </c>
      <c r="J410" s="89" t="s">
        <v>453</v>
      </c>
      <c r="K410" s="89" t="s">
        <v>443</v>
      </c>
      <c r="L410" s="89" t="s">
        <v>454</v>
      </c>
      <c r="M410" s="89" t="s">
        <v>455</v>
      </c>
      <c r="N410" s="89" t="s">
        <v>456</v>
      </c>
      <c r="O410" s="89" t="s">
        <v>457</v>
      </c>
      <c r="P410" s="89" t="s">
        <v>457</v>
      </c>
      <c r="Q410" s="89"/>
      <c r="R410" s="271" t="s">
        <v>458</v>
      </c>
      <c r="S410" s="272">
        <v>3</v>
      </c>
      <c r="U410" s="89" t="s">
        <v>454</v>
      </c>
      <c r="V410" s="89" t="s">
        <v>454</v>
      </c>
    </row>
    <row r="411" spans="1:30" ht="11.25" customHeight="1" x14ac:dyDescent="0.2">
      <c r="A411" s="153" t="s">
        <v>315</v>
      </c>
      <c r="B411" s="153" t="s">
        <v>181</v>
      </c>
      <c r="C411" s="89" t="s">
        <v>459</v>
      </c>
      <c r="D411" s="273">
        <v>1</v>
      </c>
      <c r="E411" s="273">
        <v>0.21</v>
      </c>
      <c r="F411" s="153" t="s">
        <v>460</v>
      </c>
      <c r="G411" s="153" t="s">
        <v>461</v>
      </c>
      <c r="H411" s="153" t="s">
        <v>460</v>
      </c>
      <c r="I411" s="153" t="s">
        <v>460</v>
      </c>
      <c r="J411" s="153" t="s">
        <v>118</v>
      </c>
      <c r="K411" s="153" t="s">
        <v>450</v>
      </c>
      <c r="L411" s="153" t="s">
        <v>462</v>
      </c>
      <c r="M411" s="153" t="s">
        <v>450</v>
      </c>
      <c r="N411" s="153" t="s">
        <v>266</v>
      </c>
      <c r="O411" s="153" t="s">
        <v>450</v>
      </c>
      <c r="P411" s="153" t="s">
        <v>450</v>
      </c>
      <c r="Q411" s="89"/>
      <c r="R411" s="271" t="s">
        <v>463</v>
      </c>
      <c r="S411" s="274" t="s">
        <v>464</v>
      </c>
      <c r="U411" s="153" t="s">
        <v>462</v>
      </c>
      <c r="V411" s="153" t="s">
        <v>462</v>
      </c>
    </row>
    <row r="412" spans="1:30" x14ac:dyDescent="0.2">
      <c r="A412" s="275"/>
      <c r="B412" s="276"/>
      <c r="C412" s="277"/>
      <c r="D412" s="277"/>
      <c r="E412" s="277"/>
      <c r="F412" s="277"/>
      <c r="G412" s="277"/>
      <c r="H412" s="277"/>
      <c r="I412" s="277"/>
      <c r="J412" s="277"/>
      <c r="K412" s="277"/>
      <c r="L412" s="277"/>
      <c r="M412" s="277"/>
      <c r="N412" s="278"/>
      <c r="O412" s="277"/>
      <c r="P412" s="277"/>
      <c r="Q412" s="4"/>
      <c r="R412" s="180"/>
      <c r="S412" s="206"/>
      <c r="U412" s="277"/>
      <c r="V412" s="279"/>
    </row>
    <row r="413" spans="1:30" x14ac:dyDescent="0.2">
      <c r="A413" s="280">
        <v>2026</v>
      </c>
      <c r="B413" s="76">
        <v>3454140</v>
      </c>
      <c r="C413" s="76">
        <v>0</v>
      </c>
      <c r="D413" s="76">
        <v>0</v>
      </c>
      <c r="E413" s="76">
        <v>0</v>
      </c>
      <c r="F413" s="76">
        <v>0</v>
      </c>
      <c r="G413" s="76">
        <v>0</v>
      </c>
      <c r="H413" s="76">
        <v>0</v>
      </c>
      <c r="I413" s="76">
        <v>0</v>
      </c>
      <c r="J413" s="76">
        <v>0</v>
      </c>
      <c r="K413" s="76">
        <v>0</v>
      </c>
      <c r="L413" s="76">
        <v>0</v>
      </c>
      <c r="M413" s="76">
        <v>0</v>
      </c>
      <c r="N413" s="281">
        <v>0</v>
      </c>
      <c r="O413" s="76">
        <v>0</v>
      </c>
      <c r="P413" s="76">
        <v>3454140</v>
      </c>
      <c r="Q413" s="282"/>
      <c r="R413" s="283">
        <v>3</v>
      </c>
      <c r="S413" s="284">
        <v>0</v>
      </c>
      <c r="U413" s="76">
        <v>0</v>
      </c>
      <c r="V413" s="285">
        <v>0</v>
      </c>
    </row>
    <row r="414" spans="1:30" x14ac:dyDescent="0.2">
      <c r="A414" s="280">
        <v>2027</v>
      </c>
      <c r="B414" s="78">
        <v>0</v>
      </c>
      <c r="C414" s="78">
        <v>-5832</v>
      </c>
      <c r="D414" s="78">
        <v>0</v>
      </c>
      <c r="E414" s="78">
        <v>1225</v>
      </c>
      <c r="F414" s="78">
        <v>0</v>
      </c>
      <c r="G414" s="78">
        <v>0</v>
      </c>
      <c r="H414" s="78">
        <v>0</v>
      </c>
      <c r="I414" s="78">
        <v>0</v>
      </c>
      <c r="J414" s="78">
        <v>0</v>
      </c>
      <c r="K414" s="78">
        <v>1225</v>
      </c>
      <c r="L414" s="78">
        <v>0</v>
      </c>
      <c r="M414" s="78">
        <v>1225</v>
      </c>
      <c r="N414" s="281">
        <v>3.546468875031122E-4</v>
      </c>
      <c r="O414" s="78">
        <v>1225</v>
      </c>
      <c r="P414" s="78">
        <v>3452915</v>
      </c>
      <c r="Q414" s="282"/>
      <c r="R414" s="283">
        <v>4</v>
      </c>
      <c r="S414" s="284">
        <v>306</v>
      </c>
      <c r="U414" s="78">
        <v>0</v>
      </c>
      <c r="V414" s="286">
        <v>0</v>
      </c>
    </row>
    <row r="415" spans="1:30" x14ac:dyDescent="0.2">
      <c r="A415" s="280">
        <v>2028</v>
      </c>
      <c r="B415" s="78">
        <v>6908280</v>
      </c>
      <c r="C415" s="78">
        <v>-9865917</v>
      </c>
      <c r="D415" s="78">
        <v>0</v>
      </c>
      <c r="E415" s="78">
        <v>2071843</v>
      </c>
      <c r="F415" s="78">
        <v>0</v>
      </c>
      <c r="G415" s="78">
        <v>0</v>
      </c>
      <c r="H415" s="78">
        <v>0</v>
      </c>
      <c r="I415" s="78">
        <v>0</v>
      </c>
      <c r="J415" s="78">
        <v>0</v>
      </c>
      <c r="K415" s="78">
        <v>2071843</v>
      </c>
      <c r="L415" s="78">
        <v>0</v>
      </c>
      <c r="M415" s="78">
        <v>2071843</v>
      </c>
      <c r="N415" s="281">
        <v>0.1999381418626151</v>
      </c>
      <c r="O415" s="78">
        <v>2073068</v>
      </c>
      <c r="P415" s="78">
        <v>8289352</v>
      </c>
      <c r="Q415" s="282"/>
      <c r="R415" s="283">
        <v>4</v>
      </c>
      <c r="S415" s="284">
        <v>517961</v>
      </c>
      <c r="U415" s="78">
        <v>0</v>
      </c>
      <c r="V415" s="286">
        <v>0</v>
      </c>
    </row>
    <row r="416" spans="1:30" x14ac:dyDescent="0.2">
      <c r="A416" s="280">
        <v>2029</v>
      </c>
      <c r="B416" s="78">
        <v>6908278</v>
      </c>
      <c r="C416" s="78">
        <v>-2910888</v>
      </c>
      <c r="D416" s="78">
        <v>0</v>
      </c>
      <c r="E416" s="78">
        <v>611286</v>
      </c>
      <c r="F416" s="78">
        <v>1766823</v>
      </c>
      <c r="G416" s="78">
        <v>0</v>
      </c>
      <c r="H416" s="78">
        <v>0</v>
      </c>
      <c r="I416" s="78">
        <v>0</v>
      </c>
      <c r="J416" s="78">
        <v>0</v>
      </c>
      <c r="K416" s="78">
        <v>2378109</v>
      </c>
      <c r="L416" s="78">
        <v>0</v>
      </c>
      <c r="M416" s="78">
        <v>2378109</v>
      </c>
      <c r="N416" s="281">
        <v>0.13769617186288591</v>
      </c>
      <c r="O416" s="78">
        <v>4451177</v>
      </c>
      <c r="P416" s="78">
        <v>12819521</v>
      </c>
      <c r="Q416" s="282"/>
      <c r="R416" s="283">
        <v>4</v>
      </c>
      <c r="S416" s="284">
        <v>594527</v>
      </c>
      <c r="U416" s="78">
        <v>0</v>
      </c>
      <c r="V416" s="286">
        <v>0</v>
      </c>
    </row>
    <row r="417" spans="1:22" x14ac:dyDescent="0.2">
      <c r="A417" s="280">
        <v>2030</v>
      </c>
      <c r="B417" s="78">
        <v>0</v>
      </c>
      <c r="C417" s="78">
        <v>-2722713</v>
      </c>
      <c r="D417" s="78">
        <v>0</v>
      </c>
      <c r="E417" s="78">
        <v>571770</v>
      </c>
      <c r="F417" s="78">
        <v>1766823</v>
      </c>
      <c r="G417" s="78">
        <v>0</v>
      </c>
      <c r="H417" s="78">
        <v>0</v>
      </c>
      <c r="I417" s="78">
        <v>0</v>
      </c>
      <c r="J417" s="78">
        <v>0</v>
      </c>
      <c r="K417" s="78">
        <v>2338593</v>
      </c>
      <c r="L417" s="78">
        <v>0</v>
      </c>
      <c r="M417" s="78">
        <v>2338593</v>
      </c>
      <c r="N417" s="281">
        <v>0.13540813463358575</v>
      </c>
      <c r="O417" s="78">
        <v>6789770</v>
      </c>
      <c r="P417" s="78">
        <v>10480928</v>
      </c>
      <c r="Q417" s="282"/>
      <c r="R417" s="283">
        <v>4</v>
      </c>
      <c r="S417" s="284">
        <v>584648</v>
      </c>
      <c r="U417" s="78">
        <v>0</v>
      </c>
      <c r="V417" s="286">
        <v>0</v>
      </c>
    </row>
    <row r="418" spans="1:22" x14ac:dyDescent="0.2">
      <c r="A418" s="280">
        <v>2031</v>
      </c>
      <c r="B418" s="78">
        <v>0</v>
      </c>
      <c r="C418" s="78">
        <v>-2724027</v>
      </c>
      <c r="D418" s="78">
        <v>0</v>
      </c>
      <c r="E418" s="78">
        <v>572046</v>
      </c>
      <c r="F418" s="78">
        <v>1766823</v>
      </c>
      <c r="G418" s="78">
        <v>0</v>
      </c>
      <c r="H418" s="78">
        <v>0</v>
      </c>
      <c r="I418" s="78">
        <v>0</v>
      </c>
      <c r="J418" s="78">
        <v>0</v>
      </c>
      <c r="K418" s="78">
        <v>2338869</v>
      </c>
      <c r="L418" s="78">
        <v>0</v>
      </c>
      <c r="M418" s="78">
        <v>2338869</v>
      </c>
      <c r="N418" s="281">
        <v>0.13542411545844876</v>
      </c>
      <c r="O418" s="78">
        <v>9128639</v>
      </c>
      <c r="P418" s="78">
        <v>8142059</v>
      </c>
      <c r="Q418" s="282"/>
      <c r="R418" s="283">
        <v>4</v>
      </c>
      <c r="S418" s="284">
        <v>584717</v>
      </c>
      <c r="U418" s="78">
        <v>0</v>
      </c>
      <c r="V418" s="286">
        <v>0</v>
      </c>
    </row>
    <row r="419" spans="1:22" x14ac:dyDescent="0.2">
      <c r="A419" s="280">
        <v>2032</v>
      </c>
      <c r="B419" s="78">
        <v>0</v>
      </c>
      <c r="C419" s="78">
        <v>-2724881</v>
      </c>
      <c r="D419" s="78">
        <v>0</v>
      </c>
      <c r="E419" s="78">
        <v>572225</v>
      </c>
      <c r="F419" s="78">
        <v>1766823</v>
      </c>
      <c r="G419" s="78">
        <v>0</v>
      </c>
      <c r="H419" s="78">
        <v>0</v>
      </c>
      <c r="I419" s="78">
        <v>0</v>
      </c>
      <c r="J419" s="78">
        <v>0</v>
      </c>
      <c r="K419" s="78">
        <v>2339048</v>
      </c>
      <c r="L419" s="78">
        <v>0</v>
      </c>
      <c r="M419" s="78">
        <v>2339048</v>
      </c>
      <c r="N419" s="281">
        <v>0.13543447983399398</v>
      </c>
      <c r="O419" s="78">
        <v>11467687</v>
      </c>
      <c r="P419" s="78">
        <v>5803011</v>
      </c>
      <c r="Q419" s="282"/>
      <c r="R419" s="283">
        <v>4</v>
      </c>
      <c r="S419" s="284">
        <v>584762</v>
      </c>
      <c r="U419" s="78">
        <v>0</v>
      </c>
      <c r="V419" s="286">
        <v>0</v>
      </c>
    </row>
    <row r="420" spans="1:22" x14ac:dyDescent="0.2">
      <c r="A420" s="280">
        <v>2033</v>
      </c>
      <c r="B420" s="78">
        <v>0</v>
      </c>
      <c r="C420" s="78">
        <v>-2761257</v>
      </c>
      <c r="D420" s="78">
        <v>0</v>
      </c>
      <c r="E420" s="78">
        <v>579864</v>
      </c>
      <c r="F420" s="78">
        <v>1766823</v>
      </c>
      <c r="G420" s="78">
        <v>0</v>
      </c>
      <c r="H420" s="78">
        <v>0</v>
      </c>
      <c r="I420" s="78">
        <v>0</v>
      </c>
      <c r="J420" s="78">
        <v>0</v>
      </c>
      <c r="K420" s="78">
        <v>2346687</v>
      </c>
      <c r="L420" s="78">
        <v>0</v>
      </c>
      <c r="M420" s="78">
        <v>2346687</v>
      </c>
      <c r="N420" s="281">
        <v>0.13587678969315542</v>
      </c>
      <c r="O420" s="78">
        <v>13814374</v>
      </c>
      <c r="P420" s="78">
        <v>3456324</v>
      </c>
      <c r="Q420" s="282"/>
      <c r="R420" s="283">
        <v>4</v>
      </c>
      <c r="S420" s="284">
        <v>586672</v>
      </c>
      <c r="U420" s="78">
        <v>0</v>
      </c>
      <c r="V420" s="286">
        <v>0</v>
      </c>
    </row>
    <row r="421" spans="1:22" x14ac:dyDescent="0.2">
      <c r="A421" s="280">
        <v>2034</v>
      </c>
      <c r="B421" s="78">
        <v>0</v>
      </c>
      <c r="C421" s="78">
        <v>-2783585</v>
      </c>
      <c r="D421" s="78">
        <v>0</v>
      </c>
      <c r="E421" s="78">
        <v>584553</v>
      </c>
      <c r="F421" s="78">
        <v>1766823</v>
      </c>
      <c r="G421" s="78">
        <v>0</v>
      </c>
      <c r="H421" s="78">
        <v>0</v>
      </c>
      <c r="I421" s="78">
        <v>0</v>
      </c>
      <c r="J421" s="78">
        <v>0</v>
      </c>
      <c r="K421" s="78">
        <v>2351376</v>
      </c>
      <c r="L421" s="78">
        <v>0</v>
      </c>
      <c r="M421" s="78">
        <v>2351376</v>
      </c>
      <c r="N421" s="281">
        <v>0.13614829001120857</v>
      </c>
      <c r="O421" s="78">
        <v>16165750</v>
      </c>
      <c r="P421" s="78">
        <v>1104948</v>
      </c>
      <c r="Q421" s="282"/>
      <c r="R421" s="283">
        <v>4</v>
      </c>
      <c r="S421" s="284">
        <v>587844</v>
      </c>
      <c r="U421" s="78">
        <v>0</v>
      </c>
      <c r="V421" s="286">
        <v>0</v>
      </c>
    </row>
    <row r="422" spans="1:22" x14ac:dyDescent="0.2">
      <c r="A422" s="280">
        <v>2035</v>
      </c>
      <c r="B422" s="78">
        <v>0</v>
      </c>
      <c r="C422" s="78">
        <v>-2898325</v>
      </c>
      <c r="D422" s="78">
        <v>15391</v>
      </c>
      <c r="E422" s="78">
        <v>611880</v>
      </c>
      <c r="F422" s="78">
        <v>1766823</v>
      </c>
      <c r="G422" s="78">
        <v>0</v>
      </c>
      <c r="H422" s="78">
        <v>0</v>
      </c>
      <c r="I422" s="78">
        <v>0</v>
      </c>
      <c r="J422" s="78">
        <v>0</v>
      </c>
      <c r="K422" s="78">
        <v>2378703</v>
      </c>
      <c r="L422" s="78">
        <v>0</v>
      </c>
      <c r="M422" s="78">
        <v>2378703</v>
      </c>
      <c r="N422" s="281">
        <v>0.137730565377265</v>
      </c>
      <c r="O422" s="78">
        <v>18544453</v>
      </c>
      <c r="P422" s="78">
        <v>-1273755</v>
      </c>
      <c r="Q422" s="282"/>
      <c r="R422" s="283">
        <v>4</v>
      </c>
      <c r="S422" s="284">
        <v>594676</v>
      </c>
      <c r="U422" s="78">
        <v>0</v>
      </c>
      <c r="V422" s="286">
        <v>0</v>
      </c>
    </row>
    <row r="423" spans="1:22" x14ac:dyDescent="0.2">
      <c r="A423" s="280">
        <v>2036</v>
      </c>
      <c r="B423" s="78">
        <v>0</v>
      </c>
      <c r="C423" s="78">
        <v>-2946673</v>
      </c>
      <c r="D423" s="78">
        <v>20550</v>
      </c>
      <c r="E423" s="78">
        <v>623117</v>
      </c>
      <c r="F423" s="78">
        <v>1766823</v>
      </c>
      <c r="G423" s="78">
        <v>0</v>
      </c>
      <c r="H423" s="78">
        <v>0</v>
      </c>
      <c r="I423" s="78">
        <v>0</v>
      </c>
      <c r="J423" s="78">
        <v>0</v>
      </c>
      <c r="K423" s="78">
        <v>2389940</v>
      </c>
      <c r="L423" s="78">
        <v>0</v>
      </c>
      <c r="M423" s="78">
        <v>2389940</v>
      </c>
      <c r="N423" s="281">
        <v>0.13838120497503922</v>
      </c>
      <c r="O423" s="78">
        <v>20934393</v>
      </c>
      <c r="P423" s="78">
        <v>-3663695</v>
      </c>
      <c r="Q423" s="282"/>
      <c r="R423" s="283">
        <v>4</v>
      </c>
      <c r="S423" s="284">
        <v>597485</v>
      </c>
      <c r="U423" s="78">
        <v>0</v>
      </c>
      <c r="V423" s="286">
        <v>0</v>
      </c>
    </row>
    <row r="424" spans="1:22" x14ac:dyDescent="0.2">
      <c r="A424" s="280">
        <v>2037</v>
      </c>
      <c r="B424" s="78">
        <v>0</v>
      </c>
      <c r="C424" s="78">
        <v>-2977828</v>
      </c>
      <c r="D424" s="78">
        <v>21624</v>
      </c>
      <c r="E424" s="78">
        <v>629885</v>
      </c>
      <c r="F424" s="78">
        <v>1766823</v>
      </c>
      <c r="G424" s="78">
        <v>0</v>
      </c>
      <c r="H424" s="78">
        <v>0</v>
      </c>
      <c r="I424" s="78">
        <v>0</v>
      </c>
      <c r="J424" s="78">
        <v>0</v>
      </c>
      <c r="K424" s="78">
        <v>2396708</v>
      </c>
      <c r="L424" s="78">
        <v>0</v>
      </c>
      <c r="M424" s="78">
        <v>2396708</v>
      </c>
      <c r="N424" s="281">
        <v>0.13877308259341922</v>
      </c>
      <c r="O424" s="78">
        <v>23331101</v>
      </c>
      <c r="P424" s="78">
        <v>-6060403</v>
      </c>
      <c r="Q424" s="282"/>
      <c r="R424" s="283">
        <v>4</v>
      </c>
      <c r="S424" s="284">
        <v>599177</v>
      </c>
      <c r="U424" s="78">
        <v>0</v>
      </c>
      <c r="V424" s="286">
        <v>0</v>
      </c>
    </row>
    <row r="425" spans="1:22" x14ac:dyDescent="0.2">
      <c r="A425" s="280">
        <v>2038</v>
      </c>
      <c r="B425" s="78">
        <v>0</v>
      </c>
      <c r="C425" s="78">
        <v>-3047890</v>
      </c>
      <c r="D425" s="78">
        <v>22708</v>
      </c>
      <c r="E425" s="78">
        <v>644826</v>
      </c>
      <c r="F425" s="78">
        <v>1766823</v>
      </c>
      <c r="G425" s="78">
        <v>0</v>
      </c>
      <c r="H425" s="78">
        <v>0</v>
      </c>
      <c r="I425" s="78">
        <v>0</v>
      </c>
      <c r="J425" s="78">
        <v>0</v>
      </c>
      <c r="K425" s="78">
        <v>2411649</v>
      </c>
      <c r="L425" s="78">
        <v>0</v>
      </c>
      <c r="M425" s="78">
        <v>2411649</v>
      </c>
      <c r="N425" s="281">
        <v>0.13963818949297821</v>
      </c>
      <c r="O425" s="78">
        <v>25742750</v>
      </c>
      <c r="P425" s="78">
        <v>-8472052</v>
      </c>
      <c r="Q425" s="282"/>
      <c r="R425" s="283">
        <v>4</v>
      </c>
      <c r="S425" s="284">
        <v>602912</v>
      </c>
      <c r="U425" s="78">
        <v>0</v>
      </c>
      <c r="V425" s="286">
        <v>0</v>
      </c>
    </row>
    <row r="426" spans="1:22" x14ac:dyDescent="0.2">
      <c r="A426" s="280">
        <v>2039</v>
      </c>
      <c r="B426" s="78">
        <v>0</v>
      </c>
      <c r="C426" s="78">
        <v>-3101259</v>
      </c>
      <c r="D426" s="78">
        <v>23765</v>
      </c>
      <c r="E426" s="78">
        <v>656255</v>
      </c>
      <c r="F426" s="78">
        <v>0</v>
      </c>
      <c r="G426" s="78">
        <v>0</v>
      </c>
      <c r="H426" s="78">
        <v>0</v>
      </c>
      <c r="I426" s="78">
        <v>0</v>
      </c>
      <c r="J426" s="78">
        <v>0</v>
      </c>
      <c r="K426" s="78">
        <v>656255</v>
      </c>
      <c r="L426" s="78">
        <v>0</v>
      </c>
      <c r="M426" s="78">
        <v>656255</v>
      </c>
      <c r="N426" s="281">
        <v>3.7998174711873257E-2</v>
      </c>
      <c r="O426" s="78">
        <v>26399005</v>
      </c>
      <c r="P426" s="78">
        <v>-9128307</v>
      </c>
      <c r="Q426" s="282"/>
      <c r="R426" s="283">
        <v>4</v>
      </c>
      <c r="S426" s="284">
        <v>164064</v>
      </c>
      <c r="U426" s="78">
        <v>0</v>
      </c>
      <c r="V426" s="286">
        <v>0</v>
      </c>
    </row>
    <row r="427" spans="1:22" x14ac:dyDescent="0.2">
      <c r="A427" s="280">
        <v>2040</v>
      </c>
      <c r="B427" s="78">
        <v>0</v>
      </c>
      <c r="C427" s="78">
        <v>-3106558</v>
      </c>
      <c r="D427" s="78">
        <v>24873</v>
      </c>
      <c r="E427" s="78">
        <v>657601</v>
      </c>
      <c r="F427" s="78">
        <v>0</v>
      </c>
      <c r="G427" s="78">
        <v>0</v>
      </c>
      <c r="H427" s="78">
        <v>0</v>
      </c>
      <c r="I427" s="78">
        <v>0</v>
      </c>
      <c r="J427" s="78">
        <v>0</v>
      </c>
      <c r="K427" s="78">
        <v>657601</v>
      </c>
      <c r="L427" s="78">
        <v>0</v>
      </c>
      <c r="M427" s="78">
        <v>657601</v>
      </c>
      <c r="N427" s="281">
        <v>3.8076110183850126E-2</v>
      </c>
      <c r="O427" s="78">
        <v>27056606</v>
      </c>
      <c r="P427" s="78">
        <v>-9785908</v>
      </c>
      <c r="Q427" s="282"/>
      <c r="R427" s="283">
        <v>4</v>
      </c>
      <c r="S427" s="284">
        <v>164400</v>
      </c>
      <c r="U427" s="78">
        <v>0</v>
      </c>
      <c r="V427" s="286">
        <v>0</v>
      </c>
    </row>
    <row r="428" spans="1:22" x14ac:dyDescent="0.2">
      <c r="A428" s="280">
        <v>2041</v>
      </c>
      <c r="B428" s="78">
        <v>0</v>
      </c>
      <c r="C428" s="78">
        <v>-3125737</v>
      </c>
      <c r="D428" s="78">
        <v>25990</v>
      </c>
      <c r="E428" s="78">
        <v>661863</v>
      </c>
      <c r="F428" s="78">
        <v>0</v>
      </c>
      <c r="G428" s="78">
        <v>0</v>
      </c>
      <c r="H428" s="78">
        <v>0</v>
      </c>
      <c r="I428" s="78">
        <v>0</v>
      </c>
      <c r="J428" s="78">
        <v>0</v>
      </c>
      <c r="K428" s="78">
        <v>661863</v>
      </c>
      <c r="L428" s="78">
        <v>0</v>
      </c>
      <c r="M428" s="78">
        <v>661863</v>
      </c>
      <c r="N428" s="281">
        <v>3.8322886544597097E-2</v>
      </c>
      <c r="O428" s="78">
        <v>27718469</v>
      </c>
      <c r="P428" s="78">
        <v>-10447771</v>
      </c>
      <c r="Q428" s="282"/>
      <c r="R428" s="283">
        <v>4</v>
      </c>
      <c r="S428" s="284">
        <v>165466</v>
      </c>
      <c r="U428" s="78">
        <v>0</v>
      </c>
      <c r="V428" s="286">
        <v>0</v>
      </c>
    </row>
    <row r="429" spans="1:22" x14ac:dyDescent="0.2">
      <c r="A429" s="280">
        <v>2042</v>
      </c>
      <c r="B429" s="78">
        <v>0</v>
      </c>
      <c r="C429" s="78">
        <v>-3164952</v>
      </c>
      <c r="D429" s="78">
        <v>27120</v>
      </c>
      <c r="E429" s="78">
        <v>670335</v>
      </c>
      <c r="F429" s="78">
        <v>0</v>
      </c>
      <c r="G429" s="78">
        <v>0</v>
      </c>
      <c r="H429" s="78">
        <v>0</v>
      </c>
      <c r="I429" s="78">
        <v>0</v>
      </c>
      <c r="J429" s="78">
        <v>0</v>
      </c>
      <c r="K429" s="78">
        <v>670335</v>
      </c>
      <c r="L429" s="78">
        <v>0</v>
      </c>
      <c r="M429" s="78">
        <v>670335</v>
      </c>
      <c r="N429" s="281">
        <v>3.8813428386044388E-2</v>
      </c>
      <c r="O429" s="78">
        <v>28388804</v>
      </c>
      <c r="P429" s="78">
        <v>-11118106</v>
      </c>
      <c r="Q429" s="282"/>
      <c r="R429" s="283">
        <v>4</v>
      </c>
      <c r="S429" s="284">
        <v>167584</v>
      </c>
      <c r="U429" s="78">
        <v>0</v>
      </c>
      <c r="V429" s="286">
        <v>0</v>
      </c>
    </row>
    <row r="430" spans="1:22" x14ac:dyDescent="0.2">
      <c r="A430" s="280">
        <v>2043</v>
      </c>
      <c r="B430" s="78">
        <v>0</v>
      </c>
      <c r="C430" s="78">
        <v>-3225663</v>
      </c>
      <c r="D430" s="78">
        <v>28260</v>
      </c>
      <c r="E430" s="78">
        <v>683324</v>
      </c>
      <c r="F430" s="78">
        <v>0</v>
      </c>
      <c r="G430" s="78">
        <v>0</v>
      </c>
      <c r="H430" s="78">
        <v>0</v>
      </c>
      <c r="I430" s="78">
        <v>0</v>
      </c>
      <c r="J430" s="78">
        <v>0</v>
      </c>
      <c r="K430" s="78">
        <v>683324</v>
      </c>
      <c r="L430" s="78">
        <v>0</v>
      </c>
      <c r="M430" s="78">
        <v>683324</v>
      </c>
      <c r="N430" s="281">
        <v>3.9565511480775126E-2</v>
      </c>
      <c r="O430" s="83">
        <v>29072128</v>
      </c>
      <c r="P430" s="83">
        <v>-11801430</v>
      </c>
      <c r="Q430" s="282"/>
      <c r="R430" s="283">
        <v>4</v>
      </c>
      <c r="S430" s="284">
        <v>170831</v>
      </c>
      <c r="U430" s="78">
        <v>0</v>
      </c>
      <c r="V430" s="286">
        <v>0</v>
      </c>
    </row>
    <row r="431" spans="1:22" x14ac:dyDescent="0.2">
      <c r="A431" s="280">
        <v>2044</v>
      </c>
      <c r="B431" s="78">
        <v>0</v>
      </c>
      <c r="C431" s="78">
        <v>0</v>
      </c>
      <c r="D431" s="78">
        <v>0</v>
      </c>
      <c r="E431" s="78">
        <v>0</v>
      </c>
      <c r="F431" s="78">
        <v>0</v>
      </c>
      <c r="G431" s="78">
        <v>0</v>
      </c>
      <c r="H431" s="78">
        <v>0</v>
      </c>
      <c r="I431" s="78">
        <v>0</v>
      </c>
      <c r="J431" s="78">
        <v>0</v>
      </c>
      <c r="K431" s="78">
        <v>0</v>
      </c>
      <c r="L431" s="78">
        <v>0</v>
      </c>
      <c r="M431" s="78">
        <v>0</v>
      </c>
      <c r="N431" s="281">
        <v>0</v>
      </c>
      <c r="O431" s="78">
        <v>29072128</v>
      </c>
      <c r="P431" s="78">
        <v>-11801430</v>
      </c>
      <c r="Q431" s="282"/>
      <c r="R431" s="283">
        <v>4</v>
      </c>
      <c r="S431" s="284">
        <v>0</v>
      </c>
      <c r="U431" s="78">
        <v>29364</v>
      </c>
      <c r="V431" s="286">
        <v>0</v>
      </c>
    </row>
    <row r="432" spans="1:22" ht="15.75" thickBot="1" x14ac:dyDescent="0.25">
      <c r="A432" s="4"/>
      <c r="B432" s="135"/>
      <c r="C432" s="135"/>
      <c r="D432" s="135"/>
      <c r="E432" s="135"/>
      <c r="F432" s="135"/>
      <c r="G432" s="135"/>
      <c r="H432" s="135"/>
      <c r="I432" s="135"/>
      <c r="J432" s="135"/>
      <c r="K432" s="135"/>
      <c r="L432" s="135"/>
      <c r="M432" s="135"/>
      <c r="N432" s="52"/>
      <c r="O432" s="282"/>
      <c r="P432" s="282"/>
      <c r="Q432" s="282"/>
      <c r="R432" s="287"/>
      <c r="S432" s="288"/>
      <c r="U432" s="135"/>
      <c r="V432" s="289"/>
    </row>
    <row r="433" spans="1:22" x14ac:dyDescent="0.2">
      <c r="A433" s="4" t="s">
        <v>306</v>
      </c>
      <c r="B433" s="222">
        <v>17270698</v>
      </c>
      <c r="C433" s="222">
        <v>-54093985</v>
      </c>
      <c r="D433" s="222">
        <v>210281</v>
      </c>
      <c r="E433" s="222">
        <v>11403898</v>
      </c>
      <c r="F433" s="222">
        <v>17668230</v>
      </c>
      <c r="G433" s="222">
        <v>0</v>
      </c>
      <c r="H433" s="222">
        <v>0</v>
      </c>
      <c r="I433" s="222">
        <v>0</v>
      </c>
      <c r="J433" s="222">
        <v>0</v>
      </c>
      <c r="K433" s="222">
        <v>29072128</v>
      </c>
      <c r="L433" s="222">
        <v>0</v>
      </c>
      <c r="M433" s="222">
        <v>29072128</v>
      </c>
      <c r="N433" s="68"/>
      <c r="O433" s="68"/>
      <c r="P433" s="68"/>
      <c r="Q433" s="68"/>
      <c r="R433" s="68"/>
      <c r="S433" s="4"/>
      <c r="U433" s="222">
        <v>29364</v>
      </c>
      <c r="V433" s="290">
        <v>0</v>
      </c>
    </row>
    <row r="434" spans="1:22" x14ac:dyDescent="0.2">
      <c r="A434" s="4"/>
      <c r="B434" s="135"/>
      <c r="C434" s="135"/>
      <c r="D434" s="135"/>
      <c r="E434" s="135"/>
      <c r="F434" s="135"/>
      <c r="G434" s="135"/>
      <c r="H434" s="135"/>
      <c r="I434" s="135"/>
      <c r="J434" s="135"/>
      <c r="K434" s="135"/>
      <c r="L434" s="135"/>
      <c r="M434" s="135"/>
      <c r="N434" s="4"/>
      <c r="O434" s="4"/>
      <c r="P434" s="4"/>
      <c r="Q434" s="4"/>
      <c r="R434" s="4"/>
      <c r="S434" s="4"/>
      <c r="U434" s="135"/>
      <c r="V434" s="135"/>
    </row>
    <row r="435" spans="1:22" x14ac:dyDescent="0.2">
      <c r="A435" s="4" t="s">
        <v>465</v>
      </c>
      <c r="B435" s="291" t="s">
        <v>405</v>
      </c>
      <c r="C435" s="292">
        <v>37033568</v>
      </c>
      <c r="D435" s="291" t="s">
        <v>405</v>
      </c>
      <c r="E435" s="26">
        <v>-7777049</v>
      </c>
      <c r="F435" s="291" t="s">
        <v>405</v>
      </c>
      <c r="G435" s="291" t="s">
        <v>405</v>
      </c>
      <c r="H435" s="291" t="s">
        <v>405</v>
      </c>
      <c r="I435" s="291" t="s">
        <v>405</v>
      </c>
      <c r="J435" s="291" t="s">
        <v>405</v>
      </c>
      <c r="K435" s="26">
        <v>-7777049</v>
      </c>
      <c r="L435" s="26">
        <v>0</v>
      </c>
      <c r="M435" s="26">
        <v>-7777049</v>
      </c>
      <c r="N435" s="52">
        <v>-0.45030310876838908</v>
      </c>
      <c r="O435" s="42"/>
      <c r="P435" s="4"/>
      <c r="Q435" s="4"/>
      <c r="R435" s="4"/>
      <c r="S435" s="4"/>
      <c r="U435" s="26">
        <v>0</v>
      </c>
      <c r="V435" s="286">
        <v>0</v>
      </c>
    </row>
    <row r="436" spans="1:22" x14ac:dyDescent="0.2">
      <c r="A436" s="4"/>
      <c r="B436" s="135"/>
      <c r="C436" s="135"/>
      <c r="D436" s="135"/>
      <c r="E436" s="135"/>
      <c r="F436" s="135"/>
      <c r="G436" s="135"/>
      <c r="H436" s="135"/>
      <c r="I436" s="135"/>
      <c r="J436" s="135"/>
      <c r="K436" s="135"/>
      <c r="L436" s="135"/>
      <c r="M436" s="135"/>
      <c r="N436" s="4"/>
      <c r="O436" s="4"/>
      <c r="P436" s="4"/>
      <c r="Q436" s="4"/>
      <c r="R436" s="4"/>
      <c r="S436" s="4"/>
      <c r="U436" s="135"/>
      <c r="V436" s="135"/>
    </row>
    <row r="437" spans="1:22" ht="15.75" thickBot="1" x14ac:dyDescent="0.25">
      <c r="A437" s="4" t="s">
        <v>306</v>
      </c>
      <c r="B437" s="87">
        <v>17270698</v>
      </c>
      <c r="C437" s="87">
        <v>-17060417</v>
      </c>
      <c r="D437" s="87">
        <v>210281</v>
      </c>
      <c r="E437" s="87">
        <v>3626849</v>
      </c>
      <c r="F437" s="87">
        <v>17668230</v>
      </c>
      <c r="G437" s="87">
        <v>0</v>
      </c>
      <c r="H437" s="87">
        <v>0</v>
      </c>
      <c r="I437" s="87">
        <v>0</v>
      </c>
      <c r="J437" s="87">
        <v>0</v>
      </c>
      <c r="K437" s="87">
        <v>21295079</v>
      </c>
      <c r="L437" s="87">
        <v>0</v>
      </c>
      <c r="M437" s="87">
        <v>21295079</v>
      </c>
      <c r="N437" s="4"/>
      <c r="O437" s="4"/>
      <c r="P437" s="4"/>
      <c r="Q437" s="4"/>
      <c r="R437" s="4"/>
      <c r="S437" s="4"/>
      <c r="U437" s="87">
        <v>29364</v>
      </c>
      <c r="V437" s="87">
        <v>0</v>
      </c>
    </row>
    <row r="438" spans="1:22" ht="15.75" thickTop="1" x14ac:dyDescent="0.2">
      <c r="A438" s="4"/>
      <c r="B438" s="4"/>
      <c r="C438" s="4"/>
      <c r="D438" s="4"/>
      <c r="E438" s="4"/>
      <c r="F438" s="4"/>
      <c r="G438" s="4"/>
      <c r="H438" s="4"/>
      <c r="I438" s="4"/>
      <c r="J438" s="4"/>
      <c r="K438" s="4"/>
      <c r="L438" s="4"/>
      <c r="M438" s="4"/>
      <c r="N438" s="4"/>
      <c r="O438" s="4"/>
      <c r="P438" s="4"/>
      <c r="Q438" s="4"/>
      <c r="R438" s="4"/>
      <c r="S438" s="4"/>
      <c r="U438" s="128"/>
      <c r="V438" s="128"/>
    </row>
    <row r="439" spans="1:22" x14ac:dyDescent="0.2">
      <c r="A439" s="4"/>
      <c r="B439" s="4"/>
      <c r="C439" s="4"/>
      <c r="D439" s="4"/>
      <c r="E439" s="4"/>
      <c r="F439" s="4"/>
      <c r="G439" s="4"/>
      <c r="H439" s="4"/>
      <c r="I439" s="4"/>
      <c r="J439" s="4"/>
      <c r="K439" s="4"/>
      <c r="L439" s="4"/>
      <c r="M439" s="4"/>
      <c r="N439" s="4"/>
      <c r="O439" s="4"/>
      <c r="P439" s="4"/>
      <c r="Q439" s="4"/>
      <c r="R439" s="4"/>
      <c r="S439" s="4"/>
      <c r="U439" s="293" t="s">
        <v>466</v>
      </c>
      <c r="V439" s="78">
        <v>0</v>
      </c>
    </row>
    <row r="440" spans="1:22" x14ac:dyDescent="0.2">
      <c r="A440" s="4"/>
      <c r="B440" s="4"/>
      <c r="C440" s="4"/>
      <c r="D440" s="4"/>
      <c r="E440" s="4"/>
      <c r="F440" s="4"/>
      <c r="G440" s="4"/>
      <c r="H440" s="4"/>
      <c r="I440" s="4"/>
      <c r="J440" s="4"/>
      <c r="K440" s="4" t="s">
        <v>467</v>
      </c>
      <c r="L440" s="4"/>
      <c r="M440" s="52">
        <v>0.99990000000000001</v>
      </c>
      <c r="O440" s="4"/>
      <c r="P440" s="4"/>
      <c r="Q440" s="4"/>
      <c r="R440" s="4"/>
      <c r="S440" s="4"/>
      <c r="U440" s="293" t="s">
        <v>468</v>
      </c>
      <c r="V440" s="78">
        <v>0</v>
      </c>
    </row>
    <row r="441" spans="1:22" x14ac:dyDescent="0.2">
      <c r="A441" s="4"/>
      <c r="B441" s="4"/>
      <c r="C441" s="294"/>
      <c r="D441" s="294"/>
      <c r="E441" s="295"/>
      <c r="F441" s="191"/>
      <c r="G441" s="191"/>
      <c r="H441" s="191"/>
      <c r="I441" s="191"/>
      <c r="J441" s="191"/>
      <c r="K441" s="4" t="s">
        <v>469</v>
      </c>
      <c r="L441" s="4"/>
      <c r="M441" s="52">
        <v>0.99990000000000001</v>
      </c>
      <c r="O441" s="4"/>
      <c r="P441" s="4"/>
      <c r="Q441" s="4"/>
      <c r="R441" s="4"/>
      <c r="S441" s="4"/>
      <c r="U441" s="4"/>
      <c r="V441" s="4"/>
    </row>
    <row r="442" spans="1:22" x14ac:dyDescent="0.2">
      <c r="A442" s="4"/>
      <c r="B442" s="4"/>
      <c r="C442" s="4"/>
      <c r="D442" s="4"/>
      <c r="E442" s="4"/>
      <c r="F442" s="4"/>
      <c r="G442" s="4"/>
      <c r="H442" s="4"/>
      <c r="I442" s="4"/>
      <c r="J442" s="4"/>
      <c r="K442" s="4" t="s">
        <v>470</v>
      </c>
      <c r="L442" s="4"/>
      <c r="M442" s="52">
        <v>0.99990000000000001</v>
      </c>
      <c r="O442" s="4"/>
      <c r="P442" s="4"/>
      <c r="Q442" s="4"/>
      <c r="R442" s="4"/>
      <c r="S442" s="4"/>
    </row>
    <row r="443" spans="1:22" s="132" customFormat="1" x14ac:dyDescent="0.2"/>
    <row r="444" spans="1:22" ht="22.5" x14ac:dyDescent="0.2">
      <c r="A444" s="296" t="s">
        <v>471</v>
      </c>
      <c r="B444" s="297"/>
      <c r="C444" s="66" t="s">
        <v>176</v>
      </c>
      <c r="D444" s="66" t="s">
        <v>472</v>
      </c>
      <c r="E444" s="66" t="s">
        <v>473</v>
      </c>
      <c r="F444" s="66" t="s">
        <v>474</v>
      </c>
      <c r="G444" s="66" t="s">
        <v>475</v>
      </c>
    </row>
    <row r="445" spans="1:22" x14ac:dyDescent="0.2">
      <c r="A445" s="47" t="s">
        <v>476</v>
      </c>
      <c r="B445" s="47"/>
      <c r="C445" s="135">
        <v>9276326</v>
      </c>
      <c r="D445" s="135">
        <v>9276326</v>
      </c>
      <c r="E445" s="135">
        <v>9276326</v>
      </c>
      <c r="F445" s="135">
        <v>0</v>
      </c>
      <c r="G445" s="135">
        <v>0</v>
      </c>
    </row>
    <row r="446" spans="1:22" x14ac:dyDescent="0.2">
      <c r="A446" s="47" t="s">
        <v>477</v>
      </c>
      <c r="B446" s="47"/>
      <c r="C446" s="135">
        <v>1416136</v>
      </c>
      <c r="D446" s="135">
        <v>0</v>
      </c>
      <c r="E446" s="135">
        <v>0</v>
      </c>
      <c r="F446" s="135">
        <v>0</v>
      </c>
      <c r="G446" s="135">
        <v>1416136</v>
      </c>
    </row>
    <row r="447" spans="1:22" x14ac:dyDescent="0.2">
      <c r="A447" s="47" t="s">
        <v>306</v>
      </c>
      <c r="B447" s="47"/>
      <c r="C447" s="135">
        <v>74476866</v>
      </c>
      <c r="D447" s="135">
        <v>61983445</v>
      </c>
      <c r="E447" s="135">
        <v>61983445</v>
      </c>
      <c r="F447" s="135">
        <v>3947285</v>
      </c>
      <c r="G447" s="135">
        <v>8546136</v>
      </c>
    </row>
    <row r="448" spans="1:22" s="132" customFormat="1" x14ac:dyDescent="0.2"/>
    <row r="449" spans="1:15" s="16" customFormat="1" ht="18.75" thickBot="1" x14ac:dyDescent="0.3">
      <c r="A449" s="1" t="s">
        <v>478</v>
      </c>
      <c r="B449" s="2"/>
      <c r="C449" s="2"/>
      <c r="D449" s="2"/>
      <c r="E449" s="2"/>
      <c r="F449" s="2"/>
      <c r="G449" s="2"/>
      <c r="H449" s="2"/>
      <c r="I449" s="2"/>
      <c r="J449" s="2"/>
      <c r="K449" s="2"/>
      <c r="L449" s="2"/>
      <c r="M449" s="2"/>
      <c r="N449" s="2"/>
      <c r="O449" s="6" t="s">
        <v>69</v>
      </c>
    </row>
    <row r="450" spans="1:15" s="16" customFormat="1" ht="15.75" x14ac:dyDescent="0.25">
      <c r="A450" s="9" t="s">
        <v>1135</v>
      </c>
      <c r="B450" s="13"/>
      <c r="C450" s="12"/>
      <c r="D450" s="12"/>
      <c r="E450" s="12"/>
      <c r="F450" s="12"/>
      <c r="G450" s="12"/>
      <c r="H450" s="12"/>
      <c r="I450" s="12"/>
      <c r="J450" s="12"/>
      <c r="K450" s="12"/>
      <c r="L450" s="13" t="s">
        <v>71</v>
      </c>
      <c r="M450" s="14">
        <v>46210.286583449073</v>
      </c>
      <c r="N450" s="15">
        <v>46210.286583449073</v>
      </c>
      <c r="O450" s="13" t="s">
        <v>479</v>
      </c>
    </row>
    <row r="451" spans="1:15" s="16" customFormat="1" x14ac:dyDescent="0.2">
      <c r="A451" s="4"/>
    </row>
    <row r="452" spans="1:15" s="16" customFormat="1" x14ac:dyDescent="0.2">
      <c r="A452" s="4"/>
      <c r="B452" s="17" t="s">
        <v>184</v>
      </c>
      <c r="C452" s="19"/>
      <c r="D452" s="19"/>
      <c r="E452" s="19"/>
      <c r="F452" s="19"/>
      <c r="G452" s="19"/>
      <c r="H452" s="19"/>
      <c r="I452" s="19"/>
      <c r="J452" s="19"/>
      <c r="M452" s="17" t="s">
        <v>185</v>
      </c>
      <c r="N452" s="19"/>
      <c r="O452" s="19"/>
    </row>
    <row r="453" spans="1:15" s="16" customFormat="1" x14ac:dyDescent="0.2">
      <c r="A453" s="4"/>
      <c r="B453" s="47"/>
      <c r="C453" s="47"/>
      <c r="D453" s="47"/>
      <c r="E453" s="47"/>
    </row>
    <row r="454" spans="1:15" s="16" customFormat="1" x14ac:dyDescent="0.2">
      <c r="A454" s="4"/>
      <c r="B454" s="45" t="s">
        <v>480</v>
      </c>
      <c r="C454" s="216">
        <v>2025</v>
      </c>
      <c r="D454" s="4" t="s">
        <v>481</v>
      </c>
      <c r="E454" s="38" t="s">
        <v>118</v>
      </c>
      <c r="G454" s="47"/>
      <c r="H454" s="47"/>
      <c r="I454" s="153" t="s">
        <v>358</v>
      </c>
      <c r="J454" s="153" t="s">
        <v>176</v>
      </c>
      <c r="M454" s="45" t="s">
        <v>482</v>
      </c>
      <c r="N454" s="45"/>
      <c r="O454" s="38" t="s">
        <v>127</v>
      </c>
    </row>
    <row r="455" spans="1:15" s="16" customFormat="1" x14ac:dyDescent="0.2">
      <c r="A455" s="4"/>
      <c r="B455" s="4" t="s">
        <v>483</v>
      </c>
      <c r="C455" s="231">
        <v>0.09</v>
      </c>
      <c r="D455" s="4" t="s">
        <v>484</v>
      </c>
      <c r="E455" s="38">
        <v>36005024300</v>
      </c>
      <c r="G455" s="298" t="s">
        <v>485</v>
      </c>
      <c r="H455" s="298"/>
      <c r="I455" s="299">
        <v>1767000</v>
      </c>
      <c r="J455" s="76">
        <v>17670000</v>
      </c>
      <c r="M455" s="45" t="s">
        <v>486</v>
      </c>
      <c r="O455" s="231">
        <v>1</v>
      </c>
    </row>
    <row r="456" spans="1:15" s="16" customFormat="1" x14ac:dyDescent="0.2">
      <c r="A456" s="4"/>
      <c r="B456" s="4" t="s">
        <v>487</v>
      </c>
      <c r="C456" s="216">
        <v>1</v>
      </c>
      <c r="E456" s="47"/>
      <c r="G456" s="75" t="s">
        <v>488</v>
      </c>
      <c r="H456" s="75"/>
      <c r="I456" s="78">
        <v>7252063</v>
      </c>
      <c r="J456" s="78">
        <v>72520630</v>
      </c>
      <c r="M456" s="45" t="s">
        <v>489</v>
      </c>
      <c r="O456" s="300" t="s">
        <v>490</v>
      </c>
    </row>
    <row r="457" spans="1:15" s="16" customFormat="1" x14ac:dyDescent="0.2">
      <c r="A457" s="4"/>
      <c r="B457" s="47" t="s">
        <v>491</v>
      </c>
      <c r="C457" s="47"/>
      <c r="D457" s="231" t="s">
        <v>127</v>
      </c>
      <c r="G457" s="301" t="s">
        <v>492</v>
      </c>
      <c r="H457" s="75"/>
      <c r="I457" s="78">
        <v>1767000</v>
      </c>
      <c r="J457" s="78">
        <v>17670000</v>
      </c>
    </row>
    <row r="458" spans="1:15" s="16" customFormat="1" x14ac:dyDescent="0.2">
      <c r="A458" s="4"/>
      <c r="B458" s="47"/>
      <c r="C458" s="47"/>
      <c r="D458" s="47"/>
      <c r="E458" s="47"/>
      <c r="G458" s="75" t="s">
        <v>493</v>
      </c>
      <c r="H458" s="75"/>
      <c r="I458" s="78">
        <v>46880880</v>
      </c>
      <c r="J458" s="302"/>
    </row>
    <row r="459" spans="1:15" s="16" customFormat="1" x14ac:dyDescent="0.2">
      <c r="A459" s="4"/>
      <c r="B459" s="303"/>
      <c r="C459" s="303"/>
      <c r="D459" s="153" t="s">
        <v>494</v>
      </c>
      <c r="E459" s="153" t="s">
        <v>495</v>
      </c>
      <c r="M459" s="17" t="s">
        <v>496</v>
      </c>
      <c r="N459" s="19"/>
      <c r="O459" s="19"/>
    </row>
    <row r="460" spans="1:15" s="16" customFormat="1" x14ac:dyDescent="0.2">
      <c r="A460" s="4"/>
      <c r="B460" s="22" t="s">
        <v>497</v>
      </c>
      <c r="C460" s="22"/>
      <c r="D460" s="304">
        <v>0.09</v>
      </c>
      <c r="E460" s="304">
        <v>0</v>
      </c>
      <c r="G460" s="4" t="s">
        <v>498</v>
      </c>
      <c r="H460" s="42">
        <v>0</v>
      </c>
      <c r="I460" s="305">
        <v>1</v>
      </c>
      <c r="J460" s="38" t="s">
        <v>499</v>
      </c>
    </row>
    <row r="461" spans="1:15" s="16" customFormat="1" x14ac:dyDescent="0.2">
      <c r="A461" s="4"/>
      <c r="B461" s="27" t="s">
        <v>500</v>
      </c>
      <c r="C461" s="27"/>
      <c r="D461" s="306" t="s">
        <v>501</v>
      </c>
      <c r="E461" s="306">
        <v>0</v>
      </c>
      <c r="G461" s="4" t="s">
        <v>502</v>
      </c>
      <c r="H461" s="7"/>
      <c r="I461" s="42">
        <v>1</v>
      </c>
      <c r="M461" s="45" t="s">
        <v>486</v>
      </c>
      <c r="O461" s="307" t="s">
        <v>252</v>
      </c>
    </row>
    <row r="462" spans="1:15" s="16" customFormat="1" x14ac:dyDescent="0.2">
      <c r="A462" s="4"/>
      <c r="B462" s="27" t="s">
        <v>503</v>
      </c>
      <c r="C462" s="306" t="s">
        <v>1128</v>
      </c>
      <c r="D462" s="306" t="s">
        <v>118</v>
      </c>
      <c r="E462" s="306">
        <v>0</v>
      </c>
      <c r="G462" s="4" t="s">
        <v>504</v>
      </c>
      <c r="H462" s="7"/>
      <c r="I462" s="42">
        <v>1</v>
      </c>
    </row>
    <row r="463" spans="1:15" s="16" customFormat="1" ht="15.75" thickBot="1" x14ac:dyDescent="0.25">
      <c r="A463" s="308"/>
      <c r="B463" s="309"/>
      <c r="C463" s="309"/>
      <c r="D463" s="309"/>
      <c r="E463" s="309"/>
      <c r="F463" s="309"/>
      <c r="G463" s="309"/>
      <c r="H463" s="309"/>
      <c r="I463" s="309"/>
      <c r="J463" s="309"/>
      <c r="K463" s="309"/>
      <c r="L463" s="309"/>
      <c r="M463" s="309"/>
      <c r="N463" s="309"/>
      <c r="O463" s="309"/>
    </row>
    <row r="464" spans="1:15" s="16" customFormat="1" ht="15.75" thickTop="1" x14ac:dyDescent="0.2">
      <c r="A464" s="4"/>
    </row>
    <row r="465" spans="1:15" s="16" customFormat="1" x14ac:dyDescent="0.2">
      <c r="A465" s="17" t="s">
        <v>505</v>
      </c>
      <c r="B465" s="48"/>
      <c r="C465" s="48"/>
      <c r="D465" s="48"/>
      <c r="E465" s="18"/>
      <c r="F465" s="165"/>
      <c r="G465" s="17" t="s">
        <v>506</v>
      </c>
      <c r="H465" s="48"/>
      <c r="I465" s="48"/>
      <c r="J465" s="48"/>
      <c r="K465" s="310"/>
      <c r="L465" s="165"/>
      <c r="M465" s="19" t="s">
        <v>507</v>
      </c>
      <c r="N465" s="20"/>
      <c r="O465" s="310" t="s">
        <v>127</v>
      </c>
    </row>
    <row r="466" spans="1:15" s="16" customFormat="1" x14ac:dyDescent="0.2">
      <c r="A466" s="4"/>
      <c r="B466" s="4"/>
      <c r="C466" s="4"/>
      <c r="D466" s="4"/>
      <c r="E466" s="38"/>
      <c r="F466" s="38"/>
      <c r="H466" s="4"/>
      <c r="I466" s="311" t="s">
        <v>508</v>
      </c>
      <c r="J466" s="311"/>
      <c r="K466" s="311"/>
      <c r="L466" s="38"/>
      <c r="M466" s="4" t="s">
        <v>472</v>
      </c>
      <c r="N466" s="4"/>
      <c r="O466" s="135">
        <v>0</v>
      </c>
    </row>
    <row r="467" spans="1:15" s="16" customFormat="1" x14ac:dyDescent="0.2">
      <c r="A467" s="303" t="s">
        <v>509</v>
      </c>
      <c r="B467" s="303"/>
      <c r="C467" s="303"/>
      <c r="D467" s="153" t="s">
        <v>494</v>
      </c>
      <c r="E467" s="153" t="s">
        <v>495</v>
      </c>
      <c r="F467" s="89"/>
      <c r="G467" s="303" t="s">
        <v>509</v>
      </c>
      <c r="H467" s="303"/>
      <c r="I467" s="153" t="s">
        <v>510</v>
      </c>
      <c r="J467" s="153" t="s">
        <v>511</v>
      </c>
      <c r="K467" s="153" t="s">
        <v>176</v>
      </c>
      <c r="L467" s="89"/>
      <c r="M467" s="4" t="s">
        <v>512</v>
      </c>
      <c r="N467" s="4"/>
      <c r="O467" s="135">
        <v>0</v>
      </c>
    </row>
    <row r="468" spans="1:15" s="16" customFormat="1" x14ac:dyDescent="0.2">
      <c r="A468" s="4"/>
      <c r="B468" s="4"/>
      <c r="C468" s="4"/>
      <c r="D468" s="4"/>
      <c r="E468" s="4"/>
      <c r="F468" s="4"/>
      <c r="G468" s="4"/>
      <c r="H468" s="4"/>
      <c r="I468" s="4"/>
      <c r="J468" s="4"/>
      <c r="K468" s="4"/>
      <c r="L468" s="4"/>
      <c r="M468" s="4" t="s">
        <v>512</v>
      </c>
      <c r="N468" s="4"/>
      <c r="O468" s="26">
        <v>0</v>
      </c>
    </row>
    <row r="469" spans="1:15" s="16" customFormat="1" x14ac:dyDescent="0.2">
      <c r="A469" s="4" t="s">
        <v>472</v>
      </c>
      <c r="B469" s="4"/>
      <c r="C469" s="4"/>
      <c r="D469" s="312">
        <v>61983445</v>
      </c>
      <c r="E469" s="282"/>
      <c r="F469" s="282"/>
      <c r="G469" s="4" t="s">
        <v>513</v>
      </c>
      <c r="H469" s="4"/>
      <c r="I469" s="213">
        <v>0</v>
      </c>
      <c r="J469" s="213">
        <v>0</v>
      </c>
      <c r="K469" s="282"/>
      <c r="L469" s="282"/>
      <c r="M469" s="4" t="s">
        <v>512</v>
      </c>
      <c r="N469" s="4"/>
      <c r="O469" s="26">
        <v>0</v>
      </c>
    </row>
    <row r="470" spans="1:15" s="16" customFormat="1" x14ac:dyDescent="0.2">
      <c r="A470" s="4" t="s">
        <v>514</v>
      </c>
      <c r="B470" s="4"/>
      <c r="C470" s="4"/>
      <c r="D470" s="4"/>
      <c r="E470" s="4"/>
      <c r="F470" s="4"/>
      <c r="G470" s="4" t="s">
        <v>514</v>
      </c>
      <c r="H470" s="4"/>
      <c r="I470" s="4"/>
      <c r="J470" s="4"/>
      <c r="K470" s="282"/>
      <c r="L470" s="4"/>
      <c r="M470" s="26" t="s">
        <v>515</v>
      </c>
      <c r="N470" s="26"/>
      <c r="O470" s="313">
        <v>0</v>
      </c>
    </row>
    <row r="471" spans="1:15" s="16" customFormat="1" x14ac:dyDescent="0.2">
      <c r="A471" s="27"/>
      <c r="B471" s="27" t="s">
        <v>516</v>
      </c>
      <c r="C471" s="27"/>
      <c r="D471" s="219">
        <v>0</v>
      </c>
      <c r="E471" s="219">
        <v>0</v>
      </c>
      <c r="F471" s="26"/>
      <c r="G471" s="23" t="s">
        <v>517</v>
      </c>
      <c r="H471" s="27"/>
      <c r="I471" s="219">
        <v>0</v>
      </c>
      <c r="J471" s="219">
        <v>0</v>
      </c>
      <c r="K471" s="282"/>
      <c r="L471" s="26"/>
      <c r="M471" s="26" t="s">
        <v>518</v>
      </c>
      <c r="N471" s="26"/>
      <c r="O471" s="314">
        <v>0</v>
      </c>
    </row>
    <row r="472" spans="1:15" s="16" customFormat="1" ht="15.75" thickBot="1" x14ac:dyDescent="0.25">
      <c r="A472" s="27"/>
      <c r="B472" s="27" t="s">
        <v>519</v>
      </c>
      <c r="C472" s="27"/>
      <c r="D472" s="219">
        <v>0</v>
      </c>
      <c r="E472" s="219">
        <v>0</v>
      </c>
      <c r="F472" s="26"/>
      <c r="G472" s="23" t="s">
        <v>520</v>
      </c>
      <c r="H472" s="27"/>
      <c r="I472" s="219">
        <v>0</v>
      </c>
      <c r="J472" s="219">
        <v>0</v>
      </c>
      <c r="K472" s="282"/>
      <c r="L472" s="26"/>
      <c r="M472" s="26" t="s">
        <v>461</v>
      </c>
      <c r="N472" s="26"/>
      <c r="O472" s="33">
        <v>0</v>
      </c>
    </row>
    <row r="473" spans="1:15" s="16" customFormat="1" ht="15.75" thickTop="1" x14ac:dyDescent="0.2">
      <c r="A473" s="27"/>
      <c r="B473" s="27" t="s">
        <v>521</v>
      </c>
      <c r="C473" s="27"/>
      <c r="D473" s="219">
        <v>0</v>
      </c>
      <c r="E473" s="219">
        <v>0</v>
      </c>
      <c r="F473" s="26"/>
      <c r="G473" s="23" t="s">
        <v>522</v>
      </c>
      <c r="H473" s="27"/>
      <c r="I473" s="219">
        <v>0</v>
      </c>
      <c r="J473" s="219">
        <v>0</v>
      </c>
      <c r="K473" s="282"/>
      <c r="L473" s="26"/>
    </row>
    <row r="474" spans="1:15" s="16" customFormat="1" x14ac:dyDescent="0.2">
      <c r="A474" s="27"/>
      <c r="B474" s="27" t="s">
        <v>523</v>
      </c>
      <c r="C474" s="27"/>
      <c r="D474" s="219">
        <v>0</v>
      </c>
      <c r="E474" s="219">
        <v>0</v>
      </c>
      <c r="F474" s="26"/>
      <c r="G474" s="23" t="s">
        <v>524</v>
      </c>
      <c r="H474" s="27"/>
      <c r="I474" s="219">
        <v>0</v>
      </c>
      <c r="J474" s="219">
        <v>0</v>
      </c>
      <c r="K474" s="282"/>
      <c r="L474" s="26"/>
      <c r="M474" s="19" t="s">
        <v>525</v>
      </c>
      <c r="N474" s="20"/>
      <c r="O474" s="310" t="s">
        <v>127</v>
      </c>
    </row>
    <row r="475" spans="1:15" s="16" customFormat="1" x14ac:dyDescent="0.2">
      <c r="A475" s="27"/>
      <c r="B475" s="315">
        <v>0</v>
      </c>
      <c r="C475" s="27"/>
      <c r="D475" s="219">
        <v>0</v>
      </c>
      <c r="E475" s="219">
        <v>0</v>
      </c>
      <c r="F475" s="26"/>
      <c r="G475" s="23" t="s">
        <v>526</v>
      </c>
      <c r="H475" s="27"/>
      <c r="I475" s="219">
        <v>0</v>
      </c>
      <c r="J475" s="219">
        <v>0</v>
      </c>
      <c r="K475" s="282"/>
      <c r="L475" s="26"/>
      <c r="M475" s="4" t="s">
        <v>513</v>
      </c>
      <c r="N475" s="4"/>
      <c r="O475" s="135">
        <v>0</v>
      </c>
    </row>
    <row r="476" spans="1:15" s="16" customFormat="1" x14ac:dyDescent="0.2">
      <c r="A476" s="27"/>
      <c r="B476" s="315">
        <v>0</v>
      </c>
      <c r="C476" s="27"/>
      <c r="D476" s="219">
        <v>0</v>
      </c>
      <c r="E476" s="219">
        <v>0</v>
      </c>
      <c r="F476" s="26"/>
      <c r="G476" s="23" t="s">
        <v>527</v>
      </c>
      <c r="H476" s="27"/>
      <c r="I476" s="219">
        <v>0</v>
      </c>
      <c r="J476" s="219">
        <v>0</v>
      </c>
      <c r="K476" s="282"/>
      <c r="L476" s="26"/>
      <c r="M476" s="4" t="s">
        <v>512</v>
      </c>
      <c r="N476" s="4"/>
      <c r="O476" s="135">
        <v>0</v>
      </c>
    </row>
    <row r="477" spans="1:15" s="16" customFormat="1" x14ac:dyDescent="0.2">
      <c r="A477" s="27"/>
      <c r="B477" s="315">
        <v>0</v>
      </c>
      <c r="C477" s="27"/>
      <c r="D477" s="219">
        <v>0</v>
      </c>
      <c r="E477" s="219">
        <v>0</v>
      </c>
      <c r="F477" s="26"/>
      <c r="G477" s="23" t="s">
        <v>528</v>
      </c>
      <c r="H477" s="27"/>
      <c r="I477" s="219">
        <v>0</v>
      </c>
      <c r="J477" s="219">
        <v>0</v>
      </c>
      <c r="K477" s="282"/>
      <c r="L477" s="26"/>
      <c r="M477" s="4" t="s">
        <v>512</v>
      </c>
      <c r="N477" s="4"/>
      <c r="O477" s="26">
        <v>0</v>
      </c>
    </row>
    <row r="478" spans="1:15" s="16" customFormat="1" x14ac:dyDescent="0.2">
      <c r="A478" s="27"/>
      <c r="B478" s="315">
        <v>0</v>
      </c>
      <c r="C478" s="27"/>
      <c r="D478" s="219">
        <v>0</v>
      </c>
      <c r="E478" s="219">
        <v>0</v>
      </c>
      <c r="F478" s="26"/>
      <c r="G478" s="4"/>
      <c r="H478" s="4"/>
      <c r="I478" s="26"/>
      <c r="J478" s="26"/>
      <c r="K478" s="282"/>
      <c r="L478" s="26"/>
      <c r="M478" s="4" t="s">
        <v>512</v>
      </c>
      <c r="N478" s="4"/>
      <c r="O478" s="26">
        <v>0</v>
      </c>
    </row>
    <row r="479" spans="1:15" s="16" customFormat="1" x14ac:dyDescent="0.2">
      <c r="A479" s="4"/>
      <c r="B479" s="4"/>
      <c r="C479" s="4"/>
      <c r="D479" s="222">
        <v>61983445</v>
      </c>
      <c r="E479" s="222">
        <v>0</v>
      </c>
      <c r="F479" s="26"/>
      <c r="G479" s="4" t="s">
        <v>529</v>
      </c>
      <c r="H479" s="4"/>
      <c r="I479" s="222">
        <v>0</v>
      </c>
      <c r="J479" s="222">
        <v>0</v>
      </c>
      <c r="K479" s="4"/>
      <c r="L479" s="26"/>
      <c r="M479" s="26" t="s">
        <v>515</v>
      </c>
      <c r="N479" s="26"/>
      <c r="O479" s="313">
        <v>0</v>
      </c>
    </row>
    <row r="480" spans="1:15" s="16" customFormat="1" x14ac:dyDescent="0.2">
      <c r="A480" s="4" t="s">
        <v>530</v>
      </c>
      <c r="B480" s="4"/>
      <c r="C480" s="300"/>
      <c r="D480" s="316">
        <v>1.3</v>
      </c>
      <c r="E480" s="316">
        <v>1</v>
      </c>
      <c r="F480" s="26"/>
      <c r="G480" s="4"/>
      <c r="H480" s="4"/>
      <c r="I480" s="4"/>
      <c r="J480" s="4"/>
      <c r="K480" s="4"/>
      <c r="L480" s="26"/>
      <c r="M480" s="26" t="s">
        <v>518</v>
      </c>
      <c r="N480" s="26"/>
      <c r="O480" s="314">
        <v>0</v>
      </c>
    </row>
    <row r="481" spans="1:21" s="16" customFormat="1" ht="15.75" thickBot="1" x14ac:dyDescent="0.25">
      <c r="A481" s="4" t="s">
        <v>472</v>
      </c>
      <c r="B481" s="4"/>
      <c r="C481" s="4"/>
      <c r="D481" s="222">
        <v>80578478.5</v>
      </c>
      <c r="E481" s="222">
        <v>0</v>
      </c>
      <c r="F481" s="135"/>
      <c r="G481" s="4" t="s">
        <v>531</v>
      </c>
      <c r="H481" s="4"/>
      <c r="I481" s="316">
        <v>0</v>
      </c>
      <c r="J481" s="316">
        <v>0</v>
      </c>
      <c r="K481" s="4"/>
      <c r="L481" s="135"/>
      <c r="M481" s="26" t="s">
        <v>461</v>
      </c>
      <c r="N481" s="26"/>
      <c r="O481" s="33">
        <v>0</v>
      </c>
    </row>
    <row r="482" spans="1:21" s="16" customFormat="1" ht="15.75" thickTop="1" x14ac:dyDescent="0.2">
      <c r="A482" s="4" t="s">
        <v>532</v>
      </c>
      <c r="B482" s="4"/>
      <c r="C482" s="4"/>
      <c r="D482" s="26">
        <v>0</v>
      </c>
      <c r="E482" s="26">
        <v>0</v>
      </c>
      <c r="F482" s="316"/>
      <c r="G482" s="4"/>
      <c r="H482" s="4"/>
      <c r="I482" s="4"/>
      <c r="J482" s="4"/>
      <c r="K482" s="4"/>
      <c r="L482" s="316"/>
    </row>
    <row r="483" spans="1:21" s="16" customFormat="1" ht="15.75" thickBot="1" x14ac:dyDescent="0.25">
      <c r="A483" s="4" t="s">
        <v>533</v>
      </c>
      <c r="B483" s="4"/>
      <c r="C483" s="4"/>
      <c r="D483" s="222">
        <v>80578478.5</v>
      </c>
      <c r="E483" s="222">
        <v>0</v>
      </c>
      <c r="F483" s="4"/>
      <c r="G483" s="4" t="s">
        <v>534</v>
      </c>
      <c r="H483" s="4"/>
      <c r="I483" s="87">
        <v>0</v>
      </c>
      <c r="J483" s="87">
        <v>0</v>
      </c>
      <c r="K483" s="87">
        <v>0</v>
      </c>
      <c r="L483" s="4"/>
      <c r="M483" s="19" t="s">
        <v>146</v>
      </c>
      <c r="N483" s="19"/>
      <c r="O483" s="19">
        <v>0</v>
      </c>
    </row>
    <row r="484" spans="1:21" s="16" customFormat="1" ht="15.75" thickTop="1" x14ac:dyDescent="0.2">
      <c r="A484" s="4" t="s">
        <v>535</v>
      </c>
      <c r="B484" s="4"/>
      <c r="C484" s="4"/>
      <c r="D484" s="42">
        <v>1</v>
      </c>
      <c r="E484" s="42">
        <v>1</v>
      </c>
      <c r="F484" s="26"/>
      <c r="G484" s="4"/>
      <c r="H484" s="4"/>
      <c r="I484" s="4"/>
      <c r="J484" s="4"/>
      <c r="K484" s="4"/>
      <c r="L484" s="26"/>
      <c r="M484" s="4" t="s">
        <v>536</v>
      </c>
      <c r="N484" s="4"/>
      <c r="O484" s="135">
        <v>0</v>
      </c>
    </row>
    <row r="485" spans="1:21" s="16" customFormat="1" x14ac:dyDescent="0.2">
      <c r="A485" s="4" t="s">
        <v>537</v>
      </c>
      <c r="B485" s="4"/>
      <c r="C485" s="4"/>
      <c r="D485" s="222">
        <v>80578478.5</v>
      </c>
      <c r="E485" s="222">
        <v>0</v>
      </c>
      <c r="F485" s="26"/>
      <c r="G485" s="4" t="s">
        <v>538</v>
      </c>
      <c r="H485" s="4"/>
      <c r="I485" s="7"/>
      <c r="J485" s="7"/>
      <c r="K485" s="7"/>
      <c r="L485" s="26"/>
      <c r="M485" s="4" t="s">
        <v>539</v>
      </c>
      <c r="N485" s="4"/>
      <c r="O485" s="135">
        <v>0</v>
      </c>
    </row>
    <row r="486" spans="1:21" s="16" customFormat="1" x14ac:dyDescent="0.2">
      <c r="A486" s="4" t="s">
        <v>540</v>
      </c>
      <c r="B486" s="4"/>
      <c r="C486" s="4"/>
      <c r="D486" s="42">
        <v>0.09</v>
      </c>
      <c r="E486" s="42">
        <v>0</v>
      </c>
      <c r="F486" s="26"/>
      <c r="G486" s="4"/>
      <c r="H486" s="99">
        <v>2028</v>
      </c>
      <c r="I486" s="215">
        <v>0</v>
      </c>
      <c r="J486" s="215">
        <v>0</v>
      </c>
      <c r="K486" s="215">
        <v>0</v>
      </c>
      <c r="L486" s="26"/>
      <c r="M486" s="4" t="s">
        <v>541</v>
      </c>
      <c r="N486" s="4"/>
      <c r="O486" s="26">
        <v>0</v>
      </c>
    </row>
    <row r="487" spans="1:21" s="16" customFormat="1" x14ac:dyDescent="0.2">
      <c r="A487" s="4" t="s">
        <v>542</v>
      </c>
      <c r="B487" s="4"/>
      <c r="C487" s="26">
        <v>7252063</v>
      </c>
      <c r="D487" s="222">
        <v>7252063</v>
      </c>
      <c r="E487" s="222">
        <v>0</v>
      </c>
      <c r="F487" s="135"/>
      <c r="G487" s="4"/>
      <c r="H487" s="114">
        <v>2029</v>
      </c>
      <c r="I487" s="219">
        <v>0</v>
      </c>
      <c r="J487" s="219">
        <v>0</v>
      </c>
      <c r="K487" s="219">
        <v>0</v>
      </c>
      <c r="L487" s="135"/>
      <c r="M487" s="4" t="s">
        <v>543</v>
      </c>
      <c r="N487" s="4"/>
      <c r="O487" s="26">
        <v>0</v>
      </c>
    </row>
    <row r="488" spans="1:21" s="16" customFormat="1" x14ac:dyDescent="0.2">
      <c r="A488" s="4" t="s">
        <v>485</v>
      </c>
      <c r="B488" s="4"/>
      <c r="C488" s="217">
        <v>1767000</v>
      </c>
      <c r="D488" s="26">
        <v>1767000</v>
      </c>
      <c r="E488" s="26">
        <v>0</v>
      </c>
      <c r="F488" s="42"/>
      <c r="G488" s="4"/>
      <c r="H488" s="114">
        <v>2030</v>
      </c>
      <c r="I488" s="219">
        <v>0</v>
      </c>
      <c r="J488" s="219">
        <v>0</v>
      </c>
      <c r="K488" s="219">
        <v>0</v>
      </c>
      <c r="L488" s="42"/>
      <c r="M488" s="26" t="s">
        <v>515</v>
      </c>
      <c r="N488" s="26"/>
      <c r="O488" s="313">
        <v>0</v>
      </c>
    </row>
    <row r="489" spans="1:21" s="16" customFormat="1" x14ac:dyDescent="0.2">
      <c r="A489" s="4"/>
      <c r="B489" s="4"/>
      <c r="C489" s="217"/>
      <c r="D489" s="217"/>
      <c r="E489" s="217"/>
      <c r="F489" s="4"/>
      <c r="H489" s="114">
        <v>2031</v>
      </c>
      <c r="I489" s="219">
        <v>0</v>
      </c>
      <c r="J489" s="219">
        <v>0</v>
      </c>
      <c r="K489" s="219">
        <v>0</v>
      </c>
      <c r="L489" s="4"/>
      <c r="M489" s="26" t="s">
        <v>518</v>
      </c>
      <c r="N489" s="26"/>
      <c r="O489" s="314">
        <v>0</v>
      </c>
    </row>
    <row r="490" spans="1:21" s="16" customFormat="1" ht="15.75" thickBot="1" x14ac:dyDescent="0.25">
      <c r="A490" s="4" t="s">
        <v>544</v>
      </c>
      <c r="B490" s="4"/>
      <c r="C490" s="217">
        <v>1767000</v>
      </c>
      <c r="D490" s="217">
        <v>1767000</v>
      </c>
      <c r="E490" s="217">
        <v>0</v>
      </c>
      <c r="F490" s="26"/>
      <c r="G490" s="26"/>
      <c r="H490" s="26"/>
      <c r="I490" s="26"/>
      <c r="J490" s="26"/>
      <c r="K490" s="26"/>
      <c r="L490" s="26"/>
      <c r="M490" s="26" t="s">
        <v>461</v>
      </c>
      <c r="N490" s="26"/>
      <c r="O490" s="33">
        <v>0</v>
      </c>
    </row>
    <row r="491" spans="1:21" s="132" customFormat="1" ht="15.75" thickTop="1" x14ac:dyDescent="0.2"/>
    <row r="492" spans="1:21" ht="18.75" thickBot="1" x14ac:dyDescent="0.3">
      <c r="A492" s="550" t="s">
        <v>545</v>
      </c>
      <c r="B492" s="553"/>
      <c r="C492" s="553"/>
      <c r="D492" s="553"/>
      <c r="E492" s="553"/>
      <c r="F492" s="553"/>
      <c r="G492" s="553"/>
      <c r="H492" s="553"/>
      <c r="I492" s="553"/>
      <c r="J492" s="2"/>
      <c r="K492" s="2"/>
      <c r="L492" s="2"/>
      <c r="M492" s="2"/>
      <c r="N492" s="2"/>
      <c r="O492" s="2"/>
      <c r="P492" s="2"/>
      <c r="Q492" s="2"/>
      <c r="R492" s="2"/>
      <c r="S492" s="2"/>
      <c r="T492" s="2"/>
      <c r="U492" s="6" t="s">
        <v>69</v>
      </c>
    </row>
    <row r="493" spans="1:21" x14ac:dyDescent="0.2">
      <c r="A493" s="546" t="s">
        <v>1135</v>
      </c>
      <c r="B493" s="547"/>
      <c r="C493" s="547"/>
      <c r="D493" s="547"/>
      <c r="E493" s="547"/>
      <c r="F493" s="547"/>
      <c r="G493" s="547"/>
      <c r="H493" s="547"/>
      <c r="I493" s="547"/>
      <c r="J493" s="319"/>
      <c r="K493" s="11"/>
      <c r="L493" s="12"/>
      <c r="M493" s="12"/>
      <c r="N493" s="12"/>
      <c r="O493" s="12"/>
      <c r="P493" s="11"/>
      <c r="Q493" s="13" t="s">
        <v>71</v>
      </c>
      <c r="R493" s="14">
        <v>46210.286583449073</v>
      </c>
      <c r="S493" s="15">
        <v>46210.286583449073</v>
      </c>
      <c r="T493" s="320"/>
      <c r="U493" s="13" t="s">
        <v>546</v>
      </c>
    </row>
    <row r="494" spans="1:21" x14ac:dyDescent="0.2">
      <c r="A494" s="4"/>
      <c r="B494" s="4"/>
      <c r="C494" s="4"/>
      <c r="D494" s="4"/>
      <c r="E494" s="4"/>
      <c r="G494" s="4"/>
      <c r="H494" s="45"/>
      <c r="I494" s="45" t="s">
        <v>547</v>
      </c>
      <c r="J494" s="216">
        <v>2028</v>
      </c>
      <c r="K494" s="4"/>
      <c r="L494" s="4"/>
      <c r="M494" s="4"/>
      <c r="N494" s="4"/>
      <c r="O494" s="4"/>
      <c r="P494" s="4"/>
      <c r="Q494" s="321"/>
      <c r="R494" s="321"/>
      <c r="S494" s="321"/>
    </row>
    <row r="495" spans="1:21" x14ac:dyDescent="0.2">
      <c r="A495" s="322" t="s">
        <v>545</v>
      </c>
      <c r="B495" s="322"/>
      <c r="C495" s="322"/>
      <c r="D495" s="322"/>
      <c r="E495" s="322"/>
      <c r="F495" s="322"/>
      <c r="G495" s="19"/>
      <c r="H495" s="19"/>
      <c r="I495" s="19"/>
      <c r="J495" s="19"/>
      <c r="K495" s="19"/>
      <c r="L495" s="19"/>
      <c r="M495" s="19"/>
      <c r="N495" s="19"/>
      <c r="O495" s="19"/>
      <c r="P495" s="19"/>
      <c r="Q495" s="19"/>
      <c r="R495" s="19"/>
      <c r="S495" s="19"/>
      <c r="T495" s="19"/>
      <c r="U495" s="19"/>
    </row>
    <row r="496" spans="1:21" x14ac:dyDescent="0.2">
      <c r="A496" s="4"/>
      <c r="B496" s="4"/>
      <c r="C496" s="4"/>
      <c r="D496" s="4"/>
      <c r="E496" s="4"/>
      <c r="F496" s="4"/>
      <c r="G496" s="4"/>
      <c r="H496" s="4"/>
      <c r="I496" s="548" t="s">
        <v>548</v>
      </c>
      <c r="J496" s="548"/>
      <c r="K496" s="548"/>
      <c r="L496" s="548"/>
      <c r="M496" s="4"/>
      <c r="N496" s="4"/>
      <c r="O496" s="4"/>
      <c r="P496" s="4"/>
      <c r="Q496" s="323">
        <v>2026</v>
      </c>
      <c r="R496" s="323">
        <v>2026</v>
      </c>
      <c r="S496" s="4"/>
      <c r="T496" s="323">
        <v>2026</v>
      </c>
      <c r="U496" s="4"/>
    </row>
    <row r="497" spans="1:21" x14ac:dyDescent="0.2">
      <c r="A497" s="549" t="s">
        <v>549</v>
      </c>
      <c r="B497" s="549"/>
      <c r="C497" s="549"/>
      <c r="D497" s="549"/>
      <c r="E497" s="549"/>
      <c r="F497" s="89"/>
      <c r="G497" s="89" t="s">
        <v>550</v>
      </c>
      <c r="H497" s="89"/>
      <c r="K497" s="89"/>
      <c r="L497" s="89" t="s">
        <v>357</v>
      </c>
      <c r="M497" s="89" t="s">
        <v>551</v>
      </c>
      <c r="N497" s="89" t="s">
        <v>552</v>
      </c>
      <c r="O497" s="89" t="s">
        <v>377</v>
      </c>
      <c r="Q497" s="89" t="s">
        <v>553</v>
      </c>
      <c r="R497" s="89" t="s">
        <v>554</v>
      </c>
      <c r="S497" s="89" t="s">
        <v>555</v>
      </c>
      <c r="T497" s="89"/>
      <c r="U497" s="89" t="s">
        <v>555</v>
      </c>
    </row>
    <row r="498" spans="1:21" x14ac:dyDescent="0.2">
      <c r="A498" s="324" t="s">
        <v>556</v>
      </c>
      <c r="B498" s="324" t="s">
        <v>557</v>
      </c>
      <c r="C498" s="324" t="s">
        <v>194</v>
      </c>
      <c r="D498" s="324" t="s">
        <v>377</v>
      </c>
      <c r="E498" s="324" t="s">
        <v>558</v>
      </c>
      <c r="F498" s="324" t="s">
        <v>559</v>
      </c>
      <c r="G498" s="324" t="s">
        <v>560</v>
      </c>
      <c r="H498" s="324" t="s">
        <v>561</v>
      </c>
      <c r="I498" s="324" t="s">
        <v>552</v>
      </c>
      <c r="J498" s="324" t="s">
        <v>377</v>
      </c>
      <c r="K498" s="324" t="s">
        <v>562</v>
      </c>
      <c r="L498" s="324" t="s">
        <v>326</v>
      </c>
      <c r="M498" s="324" t="s">
        <v>326</v>
      </c>
      <c r="N498" s="324" t="s">
        <v>563</v>
      </c>
      <c r="O498" s="324" t="s">
        <v>563</v>
      </c>
      <c r="P498" s="324"/>
      <c r="Q498" s="324" t="s">
        <v>564</v>
      </c>
      <c r="R498" s="324" t="s">
        <v>565</v>
      </c>
      <c r="S498" s="324" t="s">
        <v>566</v>
      </c>
      <c r="T498" s="324" t="s">
        <v>354</v>
      </c>
      <c r="U498" s="324" t="s">
        <v>567</v>
      </c>
    </row>
    <row r="499" spans="1:21" x14ac:dyDescent="0.2">
      <c r="A499" s="38"/>
      <c r="B499" s="38"/>
      <c r="C499" s="38"/>
      <c r="D499" s="38"/>
      <c r="E499" s="38"/>
      <c r="F499" s="38"/>
      <c r="G499" s="38"/>
      <c r="H499" s="38"/>
      <c r="I499" s="38"/>
      <c r="J499" s="38"/>
      <c r="K499" s="38"/>
      <c r="L499" s="38"/>
      <c r="M499" s="38"/>
      <c r="N499" s="38"/>
      <c r="O499" s="38"/>
      <c r="P499" s="38"/>
      <c r="Q499" s="38"/>
      <c r="R499" s="38"/>
      <c r="S499" s="38"/>
      <c r="T499" s="38"/>
      <c r="U499" s="38"/>
    </row>
    <row r="500" spans="1:21" x14ac:dyDescent="0.2">
      <c r="A500" s="325"/>
      <c r="B500" s="325"/>
      <c r="C500" s="325"/>
      <c r="D500" s="325"/>
      <c r="E500" s="325"/>
      <c r="F500" s="38"/>
      <c r="G500" s="38"/>
      <c r="H500" s="52"/>
      <c r="I500" s="45"/>
      <c r="J500" s="45"/>
      <c r="K500" s="38"/>
      <c r="L500" s="38"/>
      <c r="M500" s="38"/>
      <c r="N500" s="38"/>
      <c r="O500" s="38"/>
      <c r="P500" s="45"/>
      <c r="Q500" s="38"/>
      <c r="R500" s="38"/>
      <c r="S500" s="45"/>
      <c r="T500" s="38"/>
      <c r="U500" s="45"/>
    </row>
    <row r="501" spans="1:21" x14ac:dyDescent="0.2">
      <c r="A501" s="114">
        <v>0</v>
      </c>
      <c r="B501" s="218">
        <v>1</v>
      </c>
      <c r="C501" s="326" t="s">
        <v>267</v>
      </c>
      <c r="D501" s="326" t="s">
        <v>738</v>
      </c>
      <c r="E501" s="326" t="s">
        <v>1163</v>
      </c>
      <c r="F501" s="327">
        <v>0.3</v>
      </c>
      <c r="G501" s="328">
        <v>436</v>
      </c>
      <c r="H501" s="328">
        <v>29</v>
      </c>
      <c r="I501" s="329">
        <v>850</v>
      </c>
      <c r="J501" s="329">
        <v>1931</v>
      </c>
      <c r="K501" s="329">
        <v>2781</v>
      </c>
      <c r="L501" s="329">
        <v>80649</v>
      </c>
      <c r="M501" s="329">
        <v>967788</v>
      </c>
      <c r="N501" s="330">
        <v>0.05</v>
      </c>
      <c r="O501" s="330">
        <v>0.05</v>
      </c>
      <c r="P501" s="331">
        <v>0</v>
      </c>
      <c r="Q501" s="329">
        <v>0</v>
      </c>
      <c r="R501" s="329">
        <v>850</v>
      </c>
      <c r="S501" s="332">
        <v>-2.2717647058823531</v>
      </c>
      <c r="T501" s="329">
        <v>2525</v>
      </c>
      <c r="U501" s="332">
        <v>-0.10138613861386139</v>
      </c>
    </row>
    <row r="502" spans="1:21" x14ac:dyDescent="0.2">
      <c r="A502" s="114">
        <v>1</v>
      </c>
      <c r="B502" s="218">
        <v>1</v>
      </c>
      <c r="C502" s="326" t="s">
        <v>267</v>
      </c>
      <c r="D502" s="326" t="s">
        <v>738</v>
      </c>
      <c r="E502" s="326" t="s">
        <v>1163</v>
      </c>
      <c r="F502" s="327">
        <v>0.3</v>
      </c>
      <c r="G502" s="328">
        <v>558</v>
      </c>
      <c r="H502" s="328">
        <v>1</v>
      </c>
      <c r="I502" s="329">
        <v>911</v>
      </c>
      <c r="J502" s="329">
        <v>2009</v>
      </c>
      <c r="K502" s="329">
        <v>2920</v>
      </c>
      <c r="L502" s="219">
        <v>2920</v>
      </c>
      <c r="M502" s="219">
        <v>35040</v>
      </c>
      <c r="N502" s="330">
        <v>0.05</v>
      </c>
      <c r="O502" s="330">
        <v>0.05</v>
      </c>
      <c r="P502" s="219">
        <v>0</v>
      </c>
      <c r="Q502" s="219">
        <v>0</v>
      </c>
      <c r="R502" s="329">
        <v>911</v>
      </c>
      <c r="S502" s="332">
        <v>-2.2052689352360044</v>
      </c>
      <c r="T502" s="329">
        <v>2800</v>
      </c>
      <c r="U502" s="332">
        <v>-4.2857142857142858E-2</v>
      </c>
    </row>
    <row r="503" spans="1:21" x14ac:dyDescent="0.2">
      <c r="A503" s="114">
        <v>0</v>
      </c>
      <c r="B503" s="218">
        <v>0</v>
      </c>
      <c r="C503" s="326">
        <v>0</v>
      </c>
      <c r="D503" s="326">
        <v>0</v>
      </c>
      <c r="E503" s="326">
        <v>0</v>
      </c>
      <c r="F503" s="327">
        <v>0</v>
      </c>
      <c r="G503" s="328">
        <v>0</v>
      </c>
      <c r="H503" s="328">
        <v>0</v>
      </c>
      <c r="I503" s="329">
        <v>0</v>
      </c>
      <c r="J503" s="329">
        <v>0</v>
      </c>
      <c r="K503" s="329">
        <v>0</v>
      </c>
      <c r="L503" s="219">
        <v>0</v>
      </c>
      <c r="M503" s="219">
        <v>0</v>
      </c>
      <c r="N503" s="330" t="s">
        <v>69</v>
      </c>
      <c r="O503" s="330" t="s">
        <v>69</v>
      </c>
      <c r="P503" s="219">
        <v>0</v>
      </c>
      <c r="Q503" s="219">
        <v>0</v>
      </c>
      <c r="R503" s="329">
        <v>0</v>
      </c>
      <c r="S503" s="332" t="s">
        <v>69</v>
      </c>
      <c r="T503" s="329">
        <v>0</v>
      </c>
      <c r="U503" s="332" t="s">
        <v>69</v>
      </c>
    </row>
    <row r="504" spans="1:21" x14ac:dyDescent="0.2">
      <c r="A504" s="114">
        <v>0</v>
      </c>
      <c r="B504" s="218">
        <v>1</v>
      </c>
      <c r="C504" s="326" t="s">
        <v>267</v>
      </c>
      <c r="D504" s="326" t="s">
        <v>738</v>
      </c>
      <c r="E504" s="326">
        <v>0</v>
      </c>
      <c r="F504" s="327">
        <v>0.5</v>
      </c>
      <c r="G504" s="328">
        <v>436</v>
      </c>
      <c r="H504" s="328">
        <v>64</v>
      </c>
      <c r="I504" s="329">
        <v>1417</v>
      </c>
      <c r="J504" s="329">
        <v>1364</v>
      </c>
      <c r="K504" s="329">
        <v>2781</v>
      </c>
      <c r="L504" s="219">
        <v>177984</v>
      </c>
      <c r="M504" s="219">
        <v>2135808</v>
      </c>
      <c r="N504" s="330">
        <v>0.05</v>
      </c>
      <c r="O504" s="330">
        <v>0.05</v>
      </c>
      <c r="P504" s="219">
        <v>0</v>
      </c>
      <c r="Q504" s="219">
        <v>0</v>
      </c>
      <c r="R504" s="329">
        <v>1417</v>
      </c>
      <c r="S504" s="332">
        <v>-0.96259703599153146</v>
      </c>
      <c r="T504" s="329">
        <v>2525</v>
      </c>
      <c r="U504" s="332">
        <v>-0.10138613861386139</v>
      </c>
    </row>
    <row r="505" spans="1:21" x14ac:dyDescent="0.2">
      <c r="A505" s="114">
        <v>1</v>
      </c>
      <c r="B505" s="218">
        <v>1</v>
      </c>
      <c r="C505" s="326" t="s">
        <v>267</v>
      </c>
      <c r="D505" s="326" t="s">
        <v>738</v>
      </c>
      <c r="E505" s="326">
        <v>0</v>
      </c>
      <c r="F505" s="327">
        <v>0.5</v>
      </c>
      <c r="G505" s="328">
        <v>558</v>
      </c>
      <c r="H505" s="328">
        <v>2</v>
      </c>
      <c r="I505" s="329">
        <v>1518</v>
      </c>
      <c r="J505" s="329">
        <v>1402</v>
      </c>
      <c r="K505" s="329">
        <v>2920</v>
      </c>
      <c r="L505" s="219">
        <v>5840</v>
      </c>
      <c r="M505" s="219">
        <v>70080</v>
      </c>
      <c r="N505" s="330">
        <v>0.05</v>
      </c>
      <c r="O505" s="330">
        <v>0.05</v>
      </c>
      <c r="P505" s="219">
        <v>0</v>
      </c>
      <c r="Q505" s="219">
        <v>0</v>
      </c>
      <c r="R505" s="329">
        <v>1518</v>
      </c>
      <c r="S505" s="332">
        <v>-0.92358366271409753</v>
      </c>
      <c r="T505" s="329">
        <v>2800</v>
      </c>
      <c r="U505" s="332">
        <v>-4.2857142857142858E-2</v>
      </c>
    </row>
    <row r="506" spans="1:21" x14ac:dyDescent="0.2">
      <c r="A506" s="114">
        <v>0</v>
      </c>
      <c r="B506" s="218">
        <v>0</v>
      </c>
      <c r="C506" s="326">
        <v>0</v>
      </c>
      <c r="D506" s="326">
        <v>0</v>
      </c>
      <c r="E506" s="326">
        <v>0</v>
      </c>
      <c r="F506" s="327">
        <v>0</v>
      </c>
      <c r="G506" s="328">
        <v>0</v>
      </c>
      <c r="H506" s="328">
        <v>0</v>
      </c>
      <c r="I506" s="329">
        <v>0</v>
      </c>
      <c r="J506" s="329">
        <v>0</v>
      </c>
      <c r="K506" s="329">
        <v>0</v>
      </c>
      <c r="L506" s="219">
        <v>0</v>
      </c>
      <c r="M506" s="219">
        <v>0</v>
      </c>
      <c r="N506" s="330" t="s">
        <v>69</v>
      </c>
      <c r="O506" s="330" t="s">
        <v>69</v>
      </c>
      <c r="P506" s="219">
        <v>0</v>
      </c>
      <c r="Q506" s="219">
        <v>0</v>
      </c>
      <c r="R506" s="329">
        <v>0</v>
      </c>
      <c r="S506" s="332" t="s">
        <v>69</v>
      </c>
      <c r="T506" s="329">
        <v>0</v>
      </c>
      <c r="U506" s="332" t="s">
        <v>69</v>
      </c>
    </row>
    <row r="507" spans="1:21" x14ac:dyDescent="0.2">
      <c r="A507" s="114">
        <v>2</v>
      </c>
      <c r="B507" s="218">
        <v>1</v>
      </c>
      <c r="C507" s="326" t="s">
        <v>572</v>
      </c>
      <c r="D507" s="326">
        <v>0</v>
      </c>
      <c r="E507" s="326">
        <v>0</v>
      </c>
      <c r="F507" s="327">
        <v>0</v>
      </c>
      <c r="G507" s="328">
        <v>748</v>
      </c>
      <c r="H507" s="328">
        <v>1</v>
      </c>
      <c r="I507" s="329">
        <v>0</v>
      </c>
      <c r="J507" s="329">
        <v>0</v>
      </c>
      <c r="K507" s="329">
        <v>0</v>
      </c>
      <c r="L507" s="219">
        <v>0</v>
      </c>
      <c r="M507" s="219">
        <v>0</v>
      </c>
      <c r="N507" s="330">
        <v>7.0000000000000007E-2</v>
      </c>
      <c r="O507" s="330">
        <v>0.05</v>
      </c>
      <c r="P507" s="219">
        <v>0</v>
      </c>
      <c r="Q507" s="219">
        <v>0</v>
      </c>
      <c r="R507" s="329">
        <v>0</v>
      </c>
      <c r="S507" s="332" t="s">
        <v>69</v>
      </c>
      <c r="T507" s="329">
        <v>0</v>
      </c>
      <c r="U507" s="332" t="s">
        <v>69</v>
      </c>
    </row>
    <row r="508" spans="1:21" x14ac:dyDescent="0.2">
      <c r="A508" s="114">
        <v>0</v>
      </c>
      <c r="B508" s="218">
        <v>0</v>
      </c>
      <c r="C508" s="326">
        <v>0</v>
      </c>
      <c r="D508" s="326">
        <v>0</v>
      </c>
      <c r="E508" s="326">
        <v>0</v>
      </c>
      <c r="F508" s="327">
        <v>0</v>
      </c>
      <c r="G508" s="328">
        <v>0</v>
      </c>
      <c r="H508" s="328">
        <v>0</v>
      </c>
      <c r="I508" s="329">
        <v>0</v>
      </c>
      <c r="J508" s="329">
        <v>0</v>
      </c>
      <c r="K508" s="329">
        <v>0</v>
      </c>
      <c r="L508" s="219">
        <v>0</v>
      </c>
      <c r="M508" s="219">
        <v>0</v>
      </c>
      <c r="N508" s="330" t="s">
        <v>69</v>
      </c>
      <c r="O508" s="330" t="s">
        <v>69</v>
      </c>
      <c r="P508" s="219">
        <v>0</v>
      </c>
      <c r="Q508" s="219">
        <v>0</v>
      </c>
      <c r="R508" s="329">
        <v>0</v>
      </c>
      <c r="S508" s="332" t="s">
        <v>69</v>
      </c>
      <c r="T508" s="329">
        <v>0</v>
      </c>
      <c r="U508" s="332" t="s">
        <v>69</v>
      </c>
    </row>
    <row r="509" spans="1:21" x14ac:dyDescent="0.2">
      <c r="A509" s="114">
        <v>0</v>
      </c>
      <c r="B509" s="218">
        <v>0</v>
      </c>
      <c r="C509" s="326">
        <v>0</v>
      </c>
      <c r="D509" s="326">
        <v>0</v>
      </c>
      <c r="E509" s="326">
        <v>0</v>
      </c>
      <c r="F509" s="327">
        <v>0</v>
      </c>
      <c r="G509" s="328">
        <v>0</v>
      </c>
      <c r="H509" s="328">
        <v>0</v>
      </c>
      <c r="I509" s="329">
        <v>0</v>
      </c>
      <c r="J509" s="329">
        <v>0</v>
      </c>
      <c r="K509" s="329">
        <v>0</v>
      </c>
      <c r="L509" s="219">
        <v>0</v>
      </c>
      <c r="M509" s="219">
        <v>0</v>
      </c>
      <c r="N509" s="330" t="s">
        <v>69</v>
      </c>
      <c r="O509" s="330" t="s">
        <v>69</v>
      </c>
      <c r="P509" s="219">
        <v>0</v>
      </c>
      <c r="Q509" s="219">
        <v>0</v>
      </c>
      <c r="R509" s="329">
        <v>0</v>
      </c>
      <c r="S509" s="332" t="s">
        <v>69</v>
      </c>
      <c r="T509" s="329">
        <v>0</v>
      </c>
      <c r="U509" s="332" t="s">
        <v>69</v>
      </c>
    </row>
    <row r="510" spans="1:21" x14ac:dyDescent="0.2">
      <c r="A510" s="114">
        <v>0</v>
      </c>
      <c r="B510" s="218">
        <v>0</v>
      </c>
      <c r="C510" s="326">
        <v>0</v>
      </c>
      <c r="D510" s="326">
        <v>0</v>
      </c>
      <c r="E510" s="326">
        <v>0</v>
      </c>
      <c r="F510" s="327">
        <v>0</v>
      </c>
      <c r="G510" s="328">
        <v>0</v>
      </c>
      <c r="H510" s="328">
        <v>0</v>
      </c>
      <c r="I510" s="329">
        <v>0</v>
      </c>
      <c r="J510" s="329">
        <v>0</v>
      </c>
      <c r="K510" s="329">
        <v>0</v>
      </c>
      <c r="L510" s="219">
        <v>0</v>
      </c>
      <c r="M510" s="219">
        <v>0</v>
      </c>
      <c r="N510" s="330" t="s">
        <v>69</v>
      </c>
      <c r="O510" s="330" t="s">
        <v>69</v>
      </c>
      <c r="P510" s="219">
        <v>0</v>
      </c>
      <c r="Q510" s="219">
        <v>0</v>
      </c>
      <c r="R510" s="329">
        <v>0</v>
      </c>
      <c r="S510" s="332" t="s">
        <v>69</v>
      </c>
      <c r="T510" s="329">
        <v>0</v>
      </c>
      <c r="U510" s="332" t="s">
        <v>69</v>
      </c>
    </row>
    <row r="511" spans="1:21" x14ac:dyDescent="0.2">
      <c r="A511" s="114">
        <v>0</v>
      </c>
      <c r="B511" s="218">
        <v>0</v>
      </c>
      <c r="C511" s="326">
        <v>0</v>
      </c>
      <c r="D511" s="326">
        <v>0</v>
      </c>
      <c r="E511" s="326">
        <v>0</v>
      </c>
      <c r="F511" s="327">
        <v>0</v>
      </c>
      <c r="G511" s="328">
        <v>0</v>
      </c>
      <c r="H511" s="328">
        <v>0</v>
      </c>
      <c r="I511" s="329">
        <v>0</v>
      </c>
      <c r="J511" s="329">
        <v>0</v>
      </c>
      <c r="K511" s="329">
        <v>0</v>
      </c>
      <c r="L511" s="219">
        <v>0</v>
      </c>
      <c r="M511" s="219">
        <v>0</v>
      </c>
      <c r="N511" s="330" t="s">
        <v>69</v>
      </c>
      <c r="O511" s="330" t="s">
        <v>69</v>
      </c>
      <c r="P511" s="219">
        <v>0</v>
      </c>
      <c r="Q511" s="219">
        <v>0</v>
      </c>
      <c r="R511" s="329">
        <v>0</v>
      </c>
      <c r="S511" s="332" t="s">
        <v>69</v>
      </c>
      <c r="T511" s="329">
        <v>0</v>
      </c>
      <c r="U511" s="332" t="s">
        <v>69</v>
      </c>
    </row>
    <row r="512" spans="1:21" x14ac:dyDescent="0.2">
      <c r="A512" s="114">
        <v>0</v>
      </c>
      <c r="B512" s="218">
        <v>0</v>
      </c>
      <c r="C512" s="326">
        <v>0</v>
      </c>
      <c r="D512" s="326">
        <v>0</v>
      </c>
      <c r="E512" s="326">
        <v>0</v>
      </c>
      <c r="F512" s="327">
        <v>0</v>
      </c>
      <c r="G512" s="328">
        <v>0</v>
      </c>
      <c r="H512" s="328">
        <v>0</v>
      </c>
      <c r="I512" s="329">
        <v>0</v>
      </c>
      <c r="J512" s="329">
        <v>0</v>
      </c>
      <c r="K512" s="329">
        <v>0</v>
      </c>
      <c r="L512" s="219">
        <v>0</v>
      </c>
      <c r="M512" s="219">
        <v>0</v>
      </c>
      <c r="N512" s="330" t="s">
        <v>69</v>
      </c>
      <c r="O512" s="330" t="s">
        <v>69</v>
      </c>
      <c r="P512" s="219">
        <v>0</v>
      </c>
      <c r="Q512" s="219">
        <v>0</v>
      </c>
      <c r="R512" s="329">
        <v>0</v>
      </c>
      <c r="S512" s="332" t="s">
        <v>69</v>
      </c>
      <c r="T512" s="329">
        <v>0</v>
      </c>
      <c r="U512" s="332" t="s">
        <v>69</v>
      </c>
    </row>
    <row r="513" spans="1:21" x14ac:dyDescent="0.2">
      <c r="A513" s="114">
        <v>0</v>
      </c>
      <c r="B513" s="218">
        <v>0</v>
      </c>
      <c r="C513" s="326">
        <v>0</v>
      </c>
      <c r="D513" s="326">
        <v>0</v>
      </c>
      <c r="E513" s="326">
        <v>0</v>
      </c>
      <c r="F513" s="327">
        <v>0</v>
      </c>
      <c r="G513" s="328">
        <v>0</v>
      </c>
      <c r="H513" s="328">
        <v>0</v>
      </c>
      <c r="I513" s="329">
        <v>0</v>
      </c>
      <c r="J513" s="329">
        <v>0</v>
      </c>
      <c r="K513" s="329">
        <v>0</v>
      </c>
      <c r="L513" s="219">
        <v>0</v>
      </c>
      <c r="M513" s="219">
        <v>0</v>
      </c>
      <c r="N513" s="330" t="s">
        <v>69</v>
      </c>
      <c r="O513" s="330" t="s">
        <v>69</v>
      </c>
      <c r="P513" s="219">
        <v>0</v>
      </c>
      <c r="Q513" s="219">
        <v>0</v>
      </c>
      <c r="R513" s="329">
        <v>0</v>
      </c>
      <c r="S513" s="332" t="s">
        <v>69</v>
      </c>
      <c r="T513" s="329">
        <v>0</v>
      </c>
      <c r="U513" s="332" t="s">
        <v>69</v>
      </c>
    </row>
    <row r="514" spans="1:21" x14ac:dyDescent="0.2">
      <c r="A514" s="114">
        <v>0</v>
      </c>
      <c r="B514" s="218">
        <v>0</v>
      </c>
      <c r="C514" s="326">
        <v>0</v>
      </c>
      <c r="D514" s="326">
        <v>0</v>
      </c>
      <c r="E514" s="326">
        <v>0</v>
      </c>
      <c r="F514" s="327">
        <v>0</v>
      </c>
      <c r="G514" s="328">
        <v>0</v>
      </c>
      <c r="H514" s="328">
        <v>0</v>
      </c>
      <c r="I514" s="329">
        <v>0</v>
      </c>
      <c r="J514" s="329">
        <v>0</v>
      </c>
      <c r="K514" s="329">
        <v>0</v>
      </c>
      <c r="L514" s="219">
        <v>0</v>
      </c>
      <c r="M514" s="219">
        <v>0</v>
      </c>
      <c r="N514" s="330" t="s">
        <v>69</v>
      </c>
      <c r="O514" s="330" t="s">
        <v>69</v>
      </c>
      <c r="P514" s="219">
        <v>0</v>
      </c>
      <c r="Q514" s="219">
        <v>0</v>
      </c>
      <c r="R514" s="329">
        <v>0</v>
      </c>
      <c r="S514" s="332" t="s">
        <v>69</v>
      </c>
      <c r="T514" s="329">
        <v>0</v>
      </c>
      <c r="U514" s="332" t="s">
        <v>69</v>
      </c>
    </row>
    <row r="515" spans="1:21" x14ac:dyDescent="0.2">
      <c r="A515" s="114">
        <v>0</v>
      </c>
      <c r="B515" s="218">
        <v>0</v>
      </c>
      <c r="C515" s="326">
        <v>0</v>
      </c>
      <c r="D515" s="326">
        <v>0</v>
      </c>
      <c r="E515" s="326">
        <v>0</v>
      </c>
      <c r="F515" s="327">
        <v>0</v>
      </c>
      <c r="G515" s="328">
        <v>0</v>
      </c>
      <c r="H515" s="328">
        <v>0</v>
      </c>
      <c r="I515" s="329">
        <v>0</v>
      </c>
      <c r="J515" s="329">
        <v>0</v>
      </c>
      <c r="K515" s="329">
        <v>0</v>
      </c>
      <c r="L515" s="219">
        <v>0</v>
      </c>
      <c r="M515" s="219">
        <v>0</v>
      </c>
      <c r="N515" s="330" t="s">
        <v>69</v>
      </c>
      <c r="O515" s="330" t="s">
        <v>69</v>
      </c>
      <c r="P515" s="219">
        <v>0</v>
      </c>
      <c r="Q515" s="219">
        <v>0</v>
      </c>
      <c r="R515" s="329">
        <v>0</v>
      </c>
      <c r="S515" s="332" t="s">
        <v>69</v>
      </c>
      <c r="T515" s="329">
        <v>0</v>
      </c>
      <c r="U515" s="332" t="s">
        <v>69</v>
      </c>
    </row>
    <row r="516" spans="1:21" x14ac:dyDescent="0.2">
      <c r="A516" s="114">
        <v>0</v>
      </c>
      <c r="B516" s="218">
        <v>0</v>
      </c>
      <c r="C516" s="326">
        <v>0</v>
      </c>
      <c r="D516" s="326">
        <v>0</v>
      </c>
      <c r="E516" s="326">
        <v>0</v>
      </c>
      <c r="F516" s="327">
        <v>0</v>
      </c>
      <c r="G516" s="328">
        <v>0</v>
      </c>
      <c r="H516" s="328">
        <v>0</v>
      </c>
      <c r="I516" s="329">
        <v>0</v>
      </c>
      <c r="J516" s="329">
        <v>0</v>
      </c>
      <c r="K516" s="329">
        <v>0</v>
      </c>
      <c r="L516" s="219">
        <v>0</v>
      </c>
      <c r="M516" s="219">
        <v>0</v>
      </c>
      <c r="N516" s="330" t="s">
        <v>69</v>
      </c>
      <c r="O516" s="330" t="s">
        <v>69</v>
      </c>
      <c r="P516" s="219">
        <v>0</v>
      </c>
      <c r="Q516" s="219">
        <v>0</v>
      </c>
      <c r="R516" s="329">
        <v>0</v>
      </c>
      <c r="S516" s="332" t="s">
        <v>69</v>
      </c>
      <c r="T516" s="329">
        <v>0</v>
      </c>
      <c r="U516" s="332" t="s">
        <v>69</v>
      </c>
    </row>
    <row r="517" spans="1:21" x14ac:dyDescent="0.2">
      <c r="A517" s="114">
        <v>0</v>
      </c>
      <c r="B517" s="218">
        <v>0</v>
      </c>
      <c r="C517" s="326">
        <v>0</v>
      </c>
      <c r="D517" s="326">
        <v>0</v>
      </c>
      <c r="E517" s="326">
        <v>0</v>
      </c>
      <c r="F517" s="327">
        <v>0</v>
      </c>
      <c r="G517" s="328">
        <v>0</v>
      </c>
      <c r="H517" s="328">
        <v>0</v>
      </c>
      <c r="I517" s="329">
        <v>0</v>
      </c>
      <c r="J517" s="329">
        <v>0</v>
      </c>
      <c r="K517" s="329">
        <v>0</v>
      </c>
      <c r="L517" s="219">
        <v>0</v>
      </c>
      <c r="M517" s="219">
        <v>0</v>
      </c>
      <c r="N517" s="330" t="s">
        <v>69</v>
      </c>
      <c r="O517" s="330" t="s">
        <v>69</v>
      </c>
      <c r="P517" s="219">
        <v>0</v>
      </c>
      <c r="Q517" s="219">
        <v>0</v>
      </c>
      <c r="R517" s="329">
        <v>0</v>
      </c>
      <c r="S517" s="332" t="s">
        <v>69</v>
      </c>
      <c r="T517" s="329">
        <v>0</v>
      </c>
      <c r="U517" s="332" t="s">
        <v>69</v>
      </c>
    </row>
    <row r="518" spans="1:21" x14ac:dyDescent="0.2">
      <c r="A518" s="114">
        <v>0</v>
      </c>
      <c r="B518" s="218">
        <v>0</v>
      </c>
      <c r="C518" s="326">
        <v>0</v>
      </c>
      <c r="D518" s="326">
        <v>0</v>
      </c>
      <c r="E518" s="326">
        <v>0</v>
      </c>
      <c r="F518" s="327">
        <v>0</v>
      </c>
      <c r="G518" s="328">
        <v>0</v>
      </c>
      <c r="H518" s="328">
        <v>0</v>
      </c>
      <c r="I518" s="329">
        <v>0</v>
      </c>
      <c r="J518" s="329">
        <v>0</v>
      </c>
      <c r="K518" s="329">
        <v>0</v>
      </c>
      <c r="L518" s="219">
        <v>0</v>
      </c>
      <c r="M518" s="219">
        <v>0</v>
      </c>
      <c r="N518" s="330" t="s">
        <v>69</v>
      </c>
      <c r="O518" s="330" t="s">
        <v>69</v>
      </c>
      <c r="P518" s="219">
        <v>0</v>
      </c>
      <c r="Q518" s="219">
        <v>0</v>
      </c>
      <c r="R518" s="329">
        <v>0</v>
      </c>
      <c r="S518" s="332" t="s">
        <v>69</v>
      </c>
      <c r="T518" s="329">
        <v>0</v>
      </c>
      <c r="U518" s="332" t="s">
        <v>69</v>
      </c>
    </row>
    <row r="519" spans="1:21" x14ac:dyDescent="0.2">
      <c r="A519" s="114">
        <v>0</v>
      </c>
      <c r="B519" s="218">
        <v>0</v>
      </c>
      <c r="C519" s="326">
        <v>0</v>
      </c>
      <c r="D519" s="326">
        <v>0</v>
      </c>
      <c r="E519" s="326">
        <v>0</v>
      </c>
      <c r="F519" s="327">
        <v>0</v>
      </c>
      <c r="G519" s="328">
        <v>0</v>
      </c>
      <c r="H519" s="328">
        <v>0</v>
      </c>
      <c r="I519" s="329">
        <v>0</v>
      </c>
      <c r="J519" s="329">
        <v>0</v>
      </c>
      <c r="K519" s="329">
        <v>0</v>
      </c>
      <c r="L519" s="219">
        <v>0</v>
      </c>
      <c r="M519" s="219">
        <v>0</v>
      </c>
      <c r="N519" s="330" t="s">
        <v>69</v>
      </c>
      <c r="O519" s="330" t="s">
        <v>69</v>
      </c>
      <c r="P519" s="219">
        <v>0</v>
      </c>
      <c r="Q519" s="219">
        <v>0</v>
      </c>
      <c r="R519" s="329">
        <v>0</v>
      </c>
      <c r="S519" s="332" t="s">
        <v>69</v>
      </c>
      <c r="T519" s="329">
        <v>0</v>
      </c>
      <c r="U519" s="332" t="s">
        <v>69</v>
      </c>
    </row>
    <row r="520" spans="1:21" x14ac:dyDescent="0.2">
      <c r="A520" s="114">
        <v>0</v>
      </c>
      <c r="B520" s="218">
        <v>0</v>
      </c>
      <c r="C520" s="326">
        <v>0</v>
      </c>
      <c r="D520" s="326">
        <v>0</v>
      </c>
      <c r="E520" s="326">
        <v>0</v>
      </c>
      <c r="F520" s="327">
        <v>0</v>
      </c>
      <c r="G520" s="328">
        <v>0</v>
      </c>
      <c r="H520" s="328">
        <v>0</v>
      </c>
      <c r="I520" s="329">
        <v>0</v>
      </c>
      <c r="J520" s="329">
        <v>0</v>
      </c>
      <c r="K520" s="329">
        <v>0</v>
      </c>
      <c r="L520" s="219">
        <v>0</v>
      </c>
      <c r="M520" s="219">
        <v>0</v>
      </c>
      <c r="N520" s="330" t="s">
        <v>69</v>
      </c>
      <c r="O520" s="330" t="s">
        <v>69</v>
      </c>
      <c r="P520" s="219">
        <v>0</v>
      </c>
      <c r="Q520" s="219">
        <v>0</v>
      </c>
      <c r="R520" s="329">
        <v>0</v>
      </c>
      <c r="S520" s="332" t="s">
        <v>69</v>
      </c>
      <c r="T520" s="329">
        <v>0</v>
      </c>
      <c r="U520" s="332" t="s">
        <v>69</v>
      </c>
    </row>
    <row r="521" spans="1:21" x14ac:dyDescent="0.2">
      <c r="A521" s="114">
        <v>0</v>
      </c>
      <c r="B521" s="218">
        <v>0</v>
      </c>
      <c r="C521" s="326">
        <v>0</v>
      </c>
      <c r="D521" s="326">
        <v>0</v>
      </c>
      <c r="E521" s="326">
        <v>0</v>
      </c>
      <c r="F521" s="327">
        <v>0</v>
      </c>
      <c r="G521" s="328">
        <v>0</v>
      </c>
      <c r="H521" s="328">
        <v>0</v>
      </c>
      <c r="I521" s="329">
        <v>0</v>
      </c>
      <c r="J521" s="329">
        <v>0</v>
      </c>
      <c r="K521" s="329">
        <v>0</v>
      </c>
      <c r="L521" s="219">
        <v>0</v>
      </c>
      <c r="M521" s="219">
        <v>0</v>
      </c>
      <c r="N521" s="330" t="s">
        <v>69</v>
      </c>
      <c r="O521" s="330" t="s">
        <v>69</v>
      </c>
      <c r="P521" s="219">
        <v>0</v>
      </c>
      <c r="Q521" s="219">
        <v>0</v>
      </c>
      <c r="R521" s="329">
        <v>0</v>
      </c>
      <c r="S521" s="332" t="s">
        <v>69</v>
      </c>
      <c r="T521" s="329">
        <v>0</v>
      </c>
      <c r="U521" s="332" t="s">
        <v>69</v>
      </c>
    </row>
    <row r="522" spans="1:21" x14ac:dyDescent="0.2">
      <c r="A522" s="114">
        <v>0</v>
      </c>
      <c r="B522" s="218">
        <v>0</v>
      </c>
      <c r="C522" s="326">
        <v>0</v>
      </c>
      <c r="D522" s="326">
        <v>0</v>
      </c>
      <c r="E522" s="326">
        <v>0</v>
      </c>
      <c r="F522" s="327">
        <v>0</v>
      </c>
      <c r="G522" s="328">
        <v>0</v>
      </c>
      <c r="H522" s="328">
        <v>0</v>
      </c>
      <c r="I522" s="329">
        <v>0</v>
      </c>
      <c r="J522" s="329">
        <v>0</v>
      </c>
      <c r="K522" s="329">
        <v>0</v>
      </c>
      <c r="L522" s="219">
        <v>0</v>
      </c>
      <c r="M522" s="219">
        <v>0</v>
      </c>
      <c r="N522" s="330" t="s">
        <v>69</v>
      </c>
      <c r="O522" s="330" t="s">
        <v>69</v>
      </c>
      <c r="P522" s="219">
        <v>0</v>
      </c>
      <c r="Q522" s="219">
        <v>0</v>
      </c>
      <c r="R522" s="329">
        <v>0</v>
      </c>
      <c r="S522" s="332" t="s">
        <v>69</v>
      </c>
      <c r="T522" s="329">
        <v>0</v>
      </c>
      <c r="U522" s="332" t="s">
        <v>69</v>
      </c>
    </row>
    <row r="523" spans="1:21" x14ac:dyDescent="0.2">
      <c r="A523" s="114">
        <v>0</v>
      </c>
      <c r="B523" s="218">
        <v>0</v>
      </c>
      <c r="C523" s="326">
        <v>0</v>
      </c>
      <c r="D523" s="326">
        <v>0</v>
      </c>
      <c r="E523" s="326">
        <v>0</v>
      </c>
      <c r="F523" s="327">
        <v>0</v>
      </c>
      <c r="G523" s="328">
        <v>0</v>
      </c>
      <c r="H523" s="328">
        <v>0</v>
      </c>
      <c r="I523" s="329">
        <v>0</v>
      </c>
      <c r="J523" s="329">
        <v>0</v>
      </c>
      <c r="K523" s="329">
        <v>0</v>
      </c>
      <c r="L523" s="219">
        <v>0</v>
      </c>
      <c r="M523" s="219">
        <v>0</v>
      </c>
      <c r="N523" s="330" t="s">
        <v>69</v>
      </c>
      <c r="O523" s="330" t="s">
        <v>69</v>
      </c>
      <c r="P523" s="219">
        <v>0</v>
      </c>
      <c r="Q523" s="219">
        <v>0</v>
      </c>
      <c r="R523" s="329">
        <v>0</v>
      </c>
      <c r="S523" s="332" t="s">
        <v>69</v>
      </c>
      <c r="T523" s="329">
        <v>0</v>
      </c>
      <c r="U523" s="332" t="s">
        <v>69</v>
      </c>
    </row>
    <row r="524" spans="1:21" x14ac:dyDescent="0.2">
      <c r="A524" s="114">
        <v>0</v>
      </c>
      <c r="B524" s="218">
        <v>0</v>
      </c>
      <c r="C524" s="326">
        <v>0</v>
      </c>
      <c r="D524" s="326">
        <v>0</v>
      </c>
      <c r="E524" s="326">
        <v>0</v>
      </c>
      <c r="F524" s="327">
        <v>0</v>
      </c>
      <c r="G524" s="328">
        <v>0</v>
      </c>
      <c r="H524" s="328">
        <v>0</v>
      </c>
      <c r="I524" s="329">
        <v>0</v>
      </c>
      <c r="J524" s="329">
        <v>0</v>
      </c>
      <c r="K524" s="329">
        <v>0</v>
      </c>
      <c r="L524" s="219">
        <v>0</v>
      </c>
      <c r="M524" s="219">
        <v>0</v>
      </c>
      <c r="N524" s="330" t="s">
        <v>69</v>
      </c>
      <c r="O524" s="330" t="s">
        <v>69</v>
      </c>
      <c r="P524" s="219">
        <v>0</v>
      </c>
      <c r="Q524" s="219">
        <v>0</v>
      </c>
      <c r="R524" s="329">
        <v>0</v>
      </c>
      <c r="S524" s="332" t="s">
        <v>69</v>
      </c>
      <c r="T524" s="329">
        <v>0</v>
      </c>
      <c r="U524" s="332" t="s">
        <v>69</v>
      </c>
    </row>
    <row r="525" spans="1:21" x14ac:dyDescent="0.2">
      <c r="A525" s="114">
        <v>0</v>
      </c>
      <c r="B525" s="218">
        <v>0</v>
      </c>
      <c r="C525" s="326">
        <v>0</v>
      </c>
      <c r="D525" s="326">
        <v>0</v>
      </c>
      <c r="E525" s="326">
        <v>0</v>
      </c>
      <c r="F525" s="327">
        <v>0</v>
      </c>
      <c r="G525" s="328">
        <v>0</v>
      </c>
      <c r="H525" s="328">
        <v>0</v>
      </c>
      <c r="I525" s="329">
        <v>0</v>
      </c>
      <c r="J525" s="329">
        <v>0</v>
      </c>
      <c r="K525" s="329">
        <v>0</v>
      </c>
      <c r="L525" s="219">
        <v>0</v>
      </c>
      <c r="M525" s="219">
        <v>0</v>
      </c>
      <c r="N525" s="330" t="s">
        <v>69</v>
      </c>
      <c r="O525" s="330" t="s">
        <v>69</v>
      </c>
      <c r="P525" s="219">
        <v>0</v>
      </c>
      <c r="Q525" s="219">
        <v>0</v>
      </c>
      <c r="R525" s="329">
        <v>0</v>
      </c>
      <c r="S525" s="332" t="s">
        <v>69</v>
      </c>
      <c r="T525" s="329">
        <v>0</v>
      </c>
      <c r="U525" s="332" t="s">
        <v>69</v>
      </c>
    </row>
    <row r="526" spans="1:21" x14ac:dyDescent="0.2">
      <c r="A526" s="114">
        <v>0</v>
      </c>
      <c r="B526" s="218">
        <v>0</v>
      </c>
      <c r="C526" s="326">
        <v>0</v>
      </c>
      <c r="D526" s="326">
        <v>0</v>
      </c>
      <c r="E526" s="326">
        <v>0</v>
      </c>
      <c r="F526" s="327">
        <v>0</v>
      </c>
      <c r="G526" s="328">
        <v>0</v>
      </c>
      <c r="H526" s="328">
        <v>0</v>
      </c>
      <c r="I526" s="329">
        <v>0</v>
      </c>
      <c r="J526" s="329">
        <v>0</v>
      </c>
      <c r="K526" s="329">
        <v>0</v>
      </c>
      <c r="L526" s="219">
        <v>0</v>
      </c>
      <c r="M526" s="219">
        <v>0</v>
      </c>
      <c r="N526" s="330" t="s">
        <v>69</v>
      </c>
      <c r="O526" s="330" t="s">
        <v>69</v>
      </c>
      <c r="P526" s="219">
        <v>0</v>
      </c>
      <c r="Q526" s="219">
        <v>0</v>
      </c>
      <c r="R526" s="329">
        <v>0</v>
      </c>
      <c r="S526" s="332" t="s">
        <v>69</v>
      </c>
      <c r="T526" s="329">
        <v>0</v>
      </c>
      <c r="U526" s="332" t="s">
        <v>69</v>
      </c>
    </row>
    <row r="527" spans="1:21" x14ac:dyDescent="0.2">
      <c r="A527" s="114">
        <v>0</v>
      </c>
      <c r="B527" s="218">
        <v>0</v>
      </c>
      <c r="C527" s="326">
        <v>0</v>
      </c>
      <c r="D527" s="326">
        <v>0</v>
      </c>
      <c r="E527" s="326">
        <v>0</v>
      </c>
      <c r="F527" s="327">
        <v>0</v>
      </c>
      <c r="G527" s="328">
        <v>0</v>
      </c>
      <c r="H527" s="328">
        <v>0</v>
      </c>
      <c r="I527" s="329">
        <v>0</v>
      </c>
      <c r="J527" s="329">
        <v>0</v>
      </c>
      <c r="K527" s="329">
        <v>0</v>
      </c>
      <c r="L527" s="219">
        <v>0</v>
      </c>
      <c r="M527" s="219">
        <v>0</v>
      </c>
      <c r="N527" s="330" t="s">
        <v>69</v>
      </c>
      <c r="O527" s="330" t="s">
        <v>69</v>
      </c>
      <c r="P527" s="219">
        <v>0</v>
      </c>
      <c r="Q527" s="219">
        <v>0</v>
      </c>
      <c r="R527" s="329">
        <v>0</v>
      </c>
      <c r="S527" s="332" t="s">
        <v>69</v>
      </c>
      <c r="T527" s="329">
        <v>0</v>
      </c>
      <c r="U527" s="332" t="s">
        <v>69</v>
      </c>
    </row>
    <row r="528" spans="1:21" x14ac:dyDescent="0.2">
      <c r="A528" s="114">
        <v>0</v>
      </c>
      <c r="B528" s="218">
        <v>0</v>
      </c>
      <c r="C528" s="326">
        <v>0</v>
      </c>
      <c r="D528" s="326">
        <v>0</v>
      </c>
      <c r="E528" s="326">
        <v>0</v>
      </c>
      <c r="F528" s="327">
        <v>0</v>
      </c>
      <c r="G528" s="328">
        <v>0</v>
      </c>
      <c r="H528" s="328">
        <v>0</v>
      </c>
      <c r="I528" s="329">
        <v>0</v>
      </c>
      <c r="J528" s="329">
        <v>0</v>
      </c>
      <c r="K528" s="329">
        <v>0</v>
      </c>
      <c r="L528" s="219">
        <v>0</v>
      </c>
      <c r="M528" s="219">
        <v>0</v>
      </c>
      <c r="N528" s="330" t="s">
        <v>69</v>
      </c>
      <c r="O528" s="330" t="s">
        <v>69</v>
      </c>
      <c r="P528" s="219">
        <v>0</v>
      </c>
      <c r="Q528" s="219">
        <v>0</v>
      </c>
      <c r="R528" s="329">
        <v>0</v>
      </c>
      <c r="S528" s="332" t="s">
        <v>69</v>
      </c>
      <c r="T528" s="329">
        <v>0</v>
      </c>
      <c r="U528" s="332" t="s">
        <v>69</v>
      </c>
    </row>
    <row r="529" spans="1:21" x14ac:dyDescent="0.2">
      <c r="A529" s="114">
        <v>0</v>
      </c>
      <c r="B529" s="218">
        <v>0</v>
      </c>
      <c r="C529" s="326">
        <v>0</v>
      </c>
      <c r="D529" s="326">
        <v>0</v>
      </c>
      <c r="E529" s="326">
        <v>0</v>
      </c>
      <c r="F529" s="327">
        <v>0</v>
      </c>
      <c r="G529" s="328">
        <v>0</v>
      </c>
      <c r="H529" s="328">
        <v>0</v>
      </c>
      <c r="I529" s="329">
        <v>0</v>
      </c>
      <c r="J529" s="329">
        <v>0</v>
      </c>
      <c r="K529" s="329">
        <v>0</v>
      </c>
      <c r="L529" s="219">
        <v>0</v>
      </c>
      <c r="M529" s="219">
        <v>0</v>
      </c>
      <c r="N529" s="330" t="s">
        <v>69</v>
      </c>
      <c r="O529" s="330" t="s">
        <v>69</v>
      </c>
      <c r="P529" s="219">
        <v>0</v>
      </c>
      <c r="Q529" s="219">
        <v>0</v>
      </c>
      <c r="R529" s="329">
        <v>0</v>
      </c>
      <c r="S529" s="332" t="s">
        <v>69</v>
      </c>
      <c r="T529" s="329">
        <v>0</v>
      </c>
      <c r="U529" s="332" t="s">
        <v>69</v>
      </c>
    </row>
    <row r="530" spans="1:21" x14ac:dyDescent="0.2">
      <c r="A530" s="114">
        <v>0</v>
      </c>
      <c r="B530" s="218">
        <v>0</v>
      </c>
      <c r="C530" s="326">
        <v>0</v>
      </c>
      <c r="D530" s="326">
        <v>0</v>
      </c>
      <c r="E530" s="326">
        <v>0</v>
      </c>
      <c r="F530" s="327">
        <v>0</v>
      </c>
      <c r="G530" s="328">
        <v>0</v>
      </c>
      <c r="H530" s="328">
        <v>0</v>
      </c>
      <c r="I530" s="329">
        <v>0</v>
      </c>
      <c r="J530" s="329">
        <v>0</v>
      </c>
      <c r="K530" s="329">
        <v>0</v>
      </c>
      <c r="L530" s="219">
        <v>0</v>
      </c>
      <c r="M530" s="219">
        <v>0</v>
      </c>
      <c r="N530" s="330" t="s">
        <v>69</v>
      </c>
      <c r="O530" s="330" t="s">
        <v>69</v>
      </c>
      <c r="P530" s="219">
        <v>0</v>
      </c>
      <c r="Q530" s="219">
        <v>0</v>
      </c>
      <c r="R530" s="329">
        <v>0</v>
      </c>
      <c r="S530" s="332" t="s">
        <v>69</v>
      </c>
      <c r="T530" s="329">
        <v>0</v>
      </c>
      <c r="U530" s="332" t="s">
        <v>69</v>
      </c>
    </row>
    <row r="531" spans="1:21" x14ac:dyDescent="0.2">
      <c r="A531" s="114">
        <v>0</v>
      </c>
      <c r="B531" s="218">
        <v>0</v>
      </c>
      <c r="C531" s="326">
        <v>0</v>
      </c>
      <c r="D531" s="326">
        <v>0</v>
      </c>
      <c r="E531" s="326">
        <v>0</v>
      </c>
      <c r="F531" s="327">
        <v>0</v>
      </c>
      <c r="G531" s="328">
        <v>0</v>
      </c>
      <c r="H531" s="328">
        <v>0</v>
      </c>
      <c r="I531" s="329">
        <v>0</v>
      </c>
      <c r="J531" s="329">
        <v>0</v>
      </c>
      <c r="K531" s="329">
        <v>0</v>
      </c>
      <c r="L531" s="219">
        <v>0</v>
      </c>
      <c r="M531" s="219">
        <v>0</v>
      </c>
      <c r="N531" s="330" t="s">
        <v>69</v>
      </c>
      <c r="O531" s="330" t="s">
        <v>69</v>
      </c>
      <c r="P531" s="219">
        <v>0</v>
      </c>
      <c r="Q531" s="219">
        <v>0</v>
      </c>
      <c r="R531" s="329">
        <v>0</v>
      </c>
      <c r="S531" s="332" t="s">
        <v>69</v>
      </c>
      <c r="T531" s="329">
        <v>0</v>
      </c>
      <c r="U531" s="332" t="s">
        <v>69</v>
      </c>
    </row>
    <row r="532" spans="1:21" x14ac:dyDescent="0.2">
      <c r="A532" s="114">
        <v>0</v>
      </c>
      <c r="B532" s="218">
        <v>0</v>
      </c>
      <c r="C532" s="326">
        <v>0</v>
      </c>
      <c r="D532" s="326">
        <v>0</v>
      </c>
      <c r="E532" s="326">
        <v>0</v>
      </c>
      <c r="F532" s="327">
        <v>0</v>
      </c>
      <c r="G532" s="328">
        <v>0</v>
      </c>
      <c r="H532" s="328">
        <v>0</v>
      </c>
      <c r="I532" s="329">
        <v>0</v>
      </c>
      <c r="J532" s="329">
        <v>0</v>
      </c>
      <c r="K532" s="329">
        <v>0</v>
      </c>
      <c r="L532" s="219">
        <v>0</v>
      </c>
      <c r="M532" s="219">
        <v>0</v>
      </c>
      <c r="N532" s="330" t="s">
        <v>69</v>
      </c>
      <c r="O532" s="330" t="s">
        <v>69</v>
      </c>
      <c r="P532" s="219">
        <v>0</v>
      </c>
      <c r="Q532" s="219">
        <v>0</v>
      </c>
      <c r="R532" s="329">
        <v>0</v>
      </c>
      <c r="S532" s="332" t="s">
        <v>69</v>
      </c>
      <c r="T532" s="329">
        <v>0</v>
      </c>
      <c r="U532" s="332" t="s">
        <v>69</v>
      </c>
    </row>
    <row r="533" spans="1:21" x14ac:dyDescent="0.2">
      <c r="A533" s="114">
        <v>0</v>
      </c>
      <c r="B533" s="218">
        <v>0</v>
      </c>
      <c r="C533" s="326">
        <v>0</v>
      </c>
      <c r="D533" s="326">
        <v>0</v>
      </c>
      <c r="E533" s="326">
        <v>0</v>
      </c>
      <c r="F533" s="327">
        <v>0</v>
      </c>
      <c r="G533" s="328">
        <v>0</v>
      </c>
      <c r="H533" s="328">
        <v>0</v>
      </c>
      <c r="I533" s="329">
        <v>0</v>
      </c>
      <c r="J533" s="329">
        <v>0</v>
      </c>
      <c r="K533" s="329">
        <v>0</v>
      </c>
      <c r="L533" s="219">
        <v>0</v>
      </c>
      <c r="M533" s="219">
        <v>0</v>
      </c>
      <c r="N533" s="330" t="s">
        <v>69</v>
      </c>
      <c r="O533" s="330" t="s">
        <v>69</v>
      </c>
      <c r="P533" s="219">
        <v>0</v>
      </c>
      <c r="Q533" s="219">
        <v>0</v>
      </c>
      <c r="R533" s="329">
        <v>0</v>
      </c>
      <c r="S533" s="332" t="s">
        <v>69</v>
      </c>
      <c r="T533" s="329">
        <v>0</v>
      </c>
      <c r="U533" s="332" t="s">
        <v>69</v>
      </c>
    </row>
    <row r="534" spans="1:21" x14ac:dyDescent="0.2">
      <c r="A534" s="114">
        <v>0</v>
      </c>
      <c r="B534" s="218">
        <v>0</v>
      </c>
      <c r="C534" s="326">
        <v>0</v>
      </c>
      <c r="D534" s="326">
        <v>0</v>
      </c>
      <c r="E534" s="326">
        <v>0</v>
      </c>
      <c r="F534" s="327">
        <v>0</v>
      </c>
      <c r="G534" s="328">
        <v>0</v>
      </c>
      <c r="H534" s="328">
        <v>0</v>
      </c>
      <c r="I534" s="329">
        <v>0</v>
      </c>
      <c r="J534" s="329">
        <v>0</v>
      </c>
      <c r="K534" s="329">
        <v>0</v>
      </c>
      <c r="L534" s="219">
        <v>0</v>
      </c>
      <c r="M534" s="219">
        <v>0</v>
      </c>
      <c r="N534" s="330" t="s">
        <v>69</v>
      </c>
      <c r="O534" s="330" t="s">
        <v>69</v>
      </c>
      <c r="P534" s="219">
        <v>0</v>
      </c>
      <c r="Q534" s="219">
        <v>0</v>
      </c>
      <c r="R534" s="329">
        <v>0</v>
      </c>
      <c r="S534" s="332" t="s">
        <v>69</v>
      </c>
      <c r="T534" s="329">
        <v>0</v>
      </c>
      <c r="U534" s="332" t="s">
        <v>69</v>
      </c>
    </row>
    <row r="535" spans="1:21" x14ac:dyDescent="0.2">
      <c r="A535" s="114">
        <v>0</v>
      </c>
      <c r="B535" s="218">
        <v>0</v>
      </c>
      <c r="C535" s="326">
        <v>0</v>
      </c>
      <c r="D535" s="326">
        <v>0</v>
      </c>
      <c r="E535" s="326">
        <v>0</v>
      </c>
      <c r="F535" s="327">
        <v>0</v>
      </c>
      <c r="G535" s="328">
        <v>0</v>
      </c>
      <c r="H535" s="328">
        <v>0</v>
      </c>
      <c r="I535" s="329">
        <v>0</v>
      </c>
      <c r="J535" s="329">
        <v>0</v>
      </c>
      <c r="K535" s="329">
        <v>0</v>
      </c>
      <c r="L535" s="219">
        <v>0</v>
      </c>
      <c r="M535" s="219">
        <v>0</v>
      </c>
      <c r="N535" s="330" t="s">
        <v>69</v>
      </c>
      <c r="O535" s="330" t="s">
        <v>69</v>
      </c>
      <c r="P535" s="219">
        <v>0</v>
      </c>
      <c r="Q535" s="219">
        <v>0</v>
      </c>
      <c r="R535" s="329">
        <v>0</v>
      </c>
      <c r="S535" s="332" t="s">
        <v>69</v>
      </c>
      <c r="T535" s="329">
        <v>0</v>
      </c>
      <c r="U535" s="332" t="s">
        <v>69</v>
      </c>
    </row>
    <row r="536" spans="1:21" x14ac:dyDescent="0.2">
      <c r="A536" s="114">
        <v>0</v>
      </c>
      <c r="B536" s="218">
        <v>0</v>
      </c>
      <c r="C536" s="326">
        <v>0</v>
      </c>
      <c r="D536" s="326">
        <v>0</v>
      </c>
      <c r="E536" s="326">
        <v>0</v>
      </c>
      <c r="F536" s="327">
        <v>0</v>
      </c>
      <c r="G536" s="328">
        <v>0</v>
      </c>
      <c r="H536" s="328">
        <v>0</v>
      </c>
      <c r="I536" s="329">
        <v>0</v>
      </c>
      <c r="J536" s="329">
        <v>0</v>
      </c>
      <c r="K536" s="329">
        <v>0</v>
      </c>
      <c r="L536" s="219">
        <v>0</v>
      </c>
      <c r="M536" s="219">
        <v>0</v>
      </c>
      <c r="N536" s="330" t="s">
        <v>69</v>
      </c>
      <c r="O536" s="330" t="s">
        <v>69</v>
      </c>
      <c r="P536" s="219">
        <v>0</v>
      </c>
      <c r="Q536" s="219">
        <v>0</v>
      </c>
      <c r="R536" s="329">
        <v>0</v>
      </c>
      <c r="S536" s="332" t="s">
        <v>69</v>
      </c>
      <c r="T536" s="329">
        <v>0</v>
      </c>
      <c r="U536" s="332" t="s">
        <v>69</v>
      </c>
    </row>
    <row r="537" spans="1:21" x14ac:dyDescent="0.2">
      <c r="A537" s="114">
        <v>0</v>
      </c>
      <c r="B537" s="218">
        <v>0</v>
      </c>
      <c r="C537" s="326">
        <v>0</v>
      </c>
      <c r="D537" s="326">
        <v>0</v>
      </c>
      <c r="E537" s="326">
        <v>0</v>
      </c>
      <c r="F537" s="327">
        <v>0</v>
      </c>
      <c r="G537" s="328">
        <v>0</v>
      </c>
      <c r="H537" s="328">
        <v>0</v>
      </c>
      <c r="I537" s="329">
        <v>0</v>
      </c>
      <c r="J537" s="329">
        <v>0</v>
      </c>
      <c r="K537" s="329">
        <v>0</v>
      </c>
      <c r="L537" s="219">
        <v>0</v>
      </c>
      <c r="M537" s="219">
        <v>0</v>
      </c>
      <c r="N537" s="330" t="s">
        <v>69</v>
      </c>
      <c r="O537" s="330" t="s">
        <v>69</v>
      </c>
      <c r="P537" s="219">
        <v>0</v>
      </c>
      <c r="Q537" s="219">
        <v>0</v>
      </c>
      <c r="R537" s="329">
        <v>0</v>
      </c>
      <c r="S537" s="332" t="s">
        <v>69</v>
      </c>
      <c r="T537" s="329">
        <v>0</v>
      </c>
      <c r="U537" s="332" t="s">
        <v>69</v>
      </c>
    </row>
    <row r="538" spans="1:21" x14ac:dyDescent="0.2">
      <c r="A538" s="114">
        <v>0</v>
      </c>
      <c r="B538" s="218">
        <v>0</v>
      </c>
      <c r="C538" s="326">
        <v>0</v>
      </c>
      <c r="D538" s="326">
        <v>0</v>
      </c>
      <c r="E538" s="326">
        <v>0</v>
      </c>
      <c r="F538" s="327">
        <v>0</v>
      </c>
      <c r="G538" s="328">
        <v>0</v>
      </c>
      <c r="H538" s="328">
        <v>0</v>
      </c>
      <c r="I538" s="329">
        <v>0</v>
      </c>
      <c r="J538" s="329">
        <v>0</v>
      </c>
      <c r="K538" s="329">
        <v>0</v>
      </c>
      <c r="L538" s="219">
        <v>0</v>
      </c>
      <c r="M538" s="219">
        <v>0</v>
      </c>
      <c r="N538" s="330" t="s">
        <v>69</v>
      </c>
      <c r="O538" s="330" t="s">
        <v>69</v>
      </c>
      <c r="P538" s="219">
        <v>0</v>
      </c>
      <c r="Q538" s="219">
        <v>0</v>
      </c>
      <c r="R538" s="329">
        <v>0</v>
      </c>
      <c r="S538" s="332" t="s">
        <v>69</v>
      </c>
      <c r="T538" s="329">
        <v>0</v>
      </c>
      <c r="U538" s="332" t="s">
        <v>69</v>
      </c>
    </row>
    <row r="539" spans="1:21" x14ac:dyDescent="0.2">
      <c r="A539" s="114">
        <v>0</v>
      </c>
      <c r="B539" s="218">
        <v>0</v>
      </c>
      <c r="C539" s="326">
        <v>0</v>
      </c>
      <c r="D539" s="326">
        <v>0</v>
      </c>
      <c r="E539" s="326">
        <v>0</v>
      </c>
      <c r="F539" s="327">
        <v>0</v>
      </c>
      <c r="G539" s="328">
        <v>0</v>
      </c>
      <c r="H539" s="328">
        <v>0</v>
      </c>
      <c r="I539" s="329">
        <v>0</v>
      </c>
      <c r="J539" s="329">
        <v>0</v>
      </c>
      <c r="K539" s="329">
        <v>0</v>
      </c>
      <c r="L539" s="219">
        <v>0</v>
      </c>
      <c r="M539" s="219">
        <v>0</v>
      </c>
      <c r="N539" s="330" t="s">
        <v>69</v>
      </c>
      <c r="O539" s="330" t="s">
        <v>69</v>
      </c>
      <c r="P539" s="219">
        <v>0</v>
      </c>
      <c r="Q539" s="219">
        <v>0</v>
      </c>
      <c r="R539" s="329">
        <v>0</v>
      </c>
      <c r="S539" s="332" t="s">
        <v>69</v>
      </c>
      <c r="T539" s="329">
        <v>0</v>
      </c>
      <c r="U539" s="332" t="s">
        <v>69</v>
      </c>
    </row>
    <row r="540" spans="1:21" x14ac:dyDescent="0.2">
      <c r="A540" s="114">
        <v>0</v>
      </c>
      <c r="B540" s="218">
        <v>0</v>
      </c>
      <c r="C540" s="326">
        <v>0</v>
      </c>
      <c r="D540" s="326">
        <v>0</v>
      </c>
      <c r="E540" s="326">
        <v>0</v>
      </c>
      <c r="F540" s="327">
        <v>0</v>
      </c>
      <c r="G540" s="328">
        <v>0</v>
      </c>
      <c r="H540" s="328">
        <v>0</v>
      </c>
      <c r="I540" s="329">
        <v>0</v>
      </c>
      <c r="J540" s="329">
        <v>0</v>
      </c>
      <c r="K540" s="329">
        <v>0</v>
      </c>
      <c r="L540" s="219">
        <v>0</v>
      </c>
      <c r="M540" s="219">
        <v>0</v>
      </c>
      <c r="N540" s="330" t="s">
        <v>69</v>
      </c>
      <c r="O540" s="330" t="s">
        <v>69</v>
      </c>
      <c r="P540" s="219">
        <v>0</v>
      </c>
      <c r="Q540" s="219">
        <v>0</v>
      </c>
      <c r="R540" s="329">
        <v>0</v>
      </c>
      <c r="S540" s="332" t="s">
        <v>69</v>
      </c>
      <c r="T540" s="329">
        <v>0</v>
      </c>
      <c r="U540" s="332" t="s">
        <v>69</v>
      </c>
    </row>
    <row r="541" spans="1:21" x14ac:dyDescent="0.2">
      <c r="A541" s="114">
        <v>0</v>
      </c>
      <c r="B541" s="218">
        <v>0</v>
      </c>
      <c r="C541" s="326">
        <v>0</v>
      </c>
      <c r="D541" s="326">
        <v>0</v>
      </c>
      <c r="E541" s="326">
        <v>0</v>
      </c>
      <c r="F541" s="327">
        <v>0</v>
      </c>
      <c r="G541" s="328">
        <v>0</v>
      </c>
      <c r="H541" s="328">
        <v>0</v>
      </c>
      <c r="I541" s="329">
        <v>0</v>
      </c>
      <c r="J541" s="329">
        <v>0</v>
      </c>
      <c r="K541" s="329">
        <v>0</v>
      </c>
      <c r="L541" s="219">
        <v>0</v>
      </c>
      <c r="M541" s="219">
        <v>0</v>
      </c>
      <c r="N541" s="330" t="s">
        <v>69</v>
      </c>
      <c r="O541" s="330" t="s">
        <v>69</v>
      </c>
      <c r="P541" s="219">
        <v>0</v>
      </c>
      <c r="Q541" s="219">
        <v>0</v>
      </c>
      <c r="R541" s="329">
        <v>0</v>
      </c>
      <c r="S541" s="332" t="s">
        <v>69</v>
      </c>
      <c r="T541" s="329">
        <v>0</v>
      </c>
      <c r="U541" s="332" t="s">
        <v>69</v>
      </c>
    </row>
    <row r="542" spans="1:21" x14ac:dyDescent="0.2">
      <c r="A542" s="114">
        <v>0</v>
      </c>
      <c r="B542" s="218">
        <v>0</v>
      </c>
      <c r="C542" s="326">
        <v>0</v>
      </c>
      <c r="D542" s="326">
        <v>0</v>
      </c>
      <c r="E542" s="326">
        <v>0</v>
      </c>
      <c r="F542" s="327">
        <v>0</v>
      </c>
      <c r="G542" s="328">
        <v>0</v>
      </c>
      <c r="H542" s="328">
        <v>0</v>
      </c>
      <c r="I542" s="329">
        <v>0</v>
      </c>
      <c r="J542" s="329">
        <v>0</v>
      </c>
      <c r="K542" s="329">
        <v>0</v>
      </c>
      <c r="L542" s="219">
        <v>0</v>
      </c>
      <c r="M542" s="219">
        <v>0</v>
      </c>
      <c r="N542" s="330" t="s">
        <v>69</v>
      </c>
      <c r="O542" s="330" t="s">
        <v>69</v>
      </c>
      <c r="P542" s="219">
        <v>0</v>
      </c>
      <c r="Q542" s="219">
        <v>0</v>
      </c>
      <c r="R542" s="329">
        <v>0</v>
      </c>
      <c r="S542" s="332" t="s">
        <v>69</v>
      </c>
      <c r="T542" s="329">
        <v>0</v>
      </c>
      <c r="U542" s="332" t="s">
        <v>69</v>
      </c>
    </row>
    <row r="543" spans="1:21" x14ac:dyDescent="0.2">
      <c r="A543" s="114">
        <v>0</v>
      </c>
      <c r="B543" s="218">
        <v>0</v>
      </c>
      <c r="C543" s="326">
        <v>0</v>
      </c>
      <c r="D543" s="326">
        <v>0</v>
      </c>
      <c r="E543" s="326">
        <v>0</v>
      </c>
      <c r="F543" s="327">
        <v>0</v>
      </c>
      <c r="G543" s="328">
        <v>0</v>
      </c>
      <c r="H543" s="328">
        <v>0</v>
      </c>
      <c r="I543" s="329">
        <v>0</v>
      </c>
      <c r="J543" s="329">
        <v>0</v>
      </c>
      <c r="K543" s="329">
        <v>0</v>
      </c>
      <c r="L543" s="219">
        <v>0</v>
      </c>
      <c r="M543" s="219">
        <v>0</v>
      </c>
      <c r="N543" s="330" t="s">
        <v>69</v>
      </c>
      <c r="O543" s="330" t="s">
        <v>69</v>
      </c>
      <c r="P543" s="219">
        <v>0</v>
      </c>
      <c r="Q543" s="219">
        <v>0</v>
      </c>
      <c r="R543" s="329">
        <v>0</v>
      </c>
      <c r="S543" s="332" t="s">
        <v>69</v>
      </c>
      <c r="T543" s="329">
        <v>0</v>
      </c>
      <c r="U543" s="332" t="s">
        <v>69</v>
      </c>
    </row>
    <row r="544" spans="1:21" x14ac:dyDescent="0.2">
      <c r="A544" s="114">
        <v>0</v>
      </c>
      <c r="B544" s="218">
        <v>0</v>
      </c>
      <c r="C544" s="326">
        <v>0</v>
      </c>
      <c r="D544" s="326">
        <v>0</v>
      </c>
      <c r="E544" s="326">
        <v>0</v>
      </c>
      <c r="F544" s="327">
        <v>0</v>
      </c>
      <c r="G544" s="328">
        <v>0</v>
      </c>
      <c r="H544" s="328">
        <v>0</v>
      </c>
      <c r="I544" s="329">
        <v>0</v>
      </c>
      <c r="J544" s="329">
        <v>0</v>
      </c>
      <c r="K544" s="329">
        <v>0</v>
      </c>
      <c r="L544" s="219">
        <v>0</v>
      </c>
      <c r="M544" s="219">
        <v>0</v>
      </c>
      <c r="N544" s="330" t="s">
        <v>69</v>
      </c>
      <c r="O544" s="330" t="s">
        <v>69</v>
      </c>
      <c r="P544" s="219">
        <v>0</v>
      </c>
      <c r="Q544" s="219">
        <v>0</v>
      </c>
      <c r="R544" s="329">
        <v>0</v>
      </c>
      <c r="S544" s="332" t="s">
        <v>69</v>
      </c>
      <c r="T544" s="329">
        <v>0</v>
      </c>
      <c r="U544" s="332" t="s">
        <v>69</v>
      </c>
    </row>
    <row r="545" spans="1:21" x14ac:dyDescent="0.2">
      <c r="A545" s="114">
        <v>0</v>
      </c>
      <c r="B545" s="218">
        <v>0</v>
      </c>
      <c r="C545" s="326">
        <v>0</v>
      </c>
      <c r="D545" s="326">
        <v>0</v>
      </c>
      <c r="E545" s="326">
        <v>0</v>
      </c>
      <c r="F545" s="327">
        <v>0</v>
      </c>
      <c r="G545" s="328">
        <v>0</v>
      </c>
      <c r="H545" s="328">
        <v>0</v>
      </c>
      <c r="I545" s="329">
        <v>0</v>
      </c>
      <c r="J545" s="329">
        <v>0</v>
      </c>
      <c r="K545" s="329">
        <v>0</v>
      </c>
      <c r="L545" s="219">
        <v>0</v>
      </c>
      <c r="M545" s="219">
        <v>0</v>
      </c>
      <c r="N545" s="330" t="s">
        <v>69</v>
      </c>
      <c r="O545" s="330" t="s">
        <v>69</v>
      </c>
      <c r="P545" s="219">
        <v>0</v>
      </c>
      <c r="Q545" s="219">
        <v>0</v>
      </c>
      <c r="R545" s="329">
        <v>0</v>
      </c>
      <c r="S545" s="332" t="s">
        <v>69</v>
      </c>
      <c r="T545" s="329">
        <v>0</v>
      </c>
      <c r="U545" s="332" t="s">
        <v>69</v>
      </c>
    </row>
    <row r="546" spans="1:21" x14ac:dyDescent="0.2">
      <c r="A546" s="114">
        <v>0</v>
      </c>
      <c r="B546" s="218">
        <v>0</v>
      </c>
      <c r="C546" s="326">
        <v>0</v>
      </c>
      <c r="D546" s="326">
        <v>0</v>
      </c>
      <c r="E546" s="326">
        <v>0</v>
      </c>
      <c r="F546" s="327">
        <v>0</v>
      </c>
      <c r="G546" s="328">
        <v>0</v>
      </c>
      <c r="H546" s="328">
        <v>0</v>
      </c>
      <c r="I546" s="329">
        <v>0</v>
      </c>
      <c r="J546" s="329">
        <v>0</v>
      </c>
      <c r="K546" s="329">
        <v>0</v>
      </c>
      <c r="L546" s="219">
        <v>0</v>
      </c>
      <c r="M546" s="219">
        <v>0</v>
      </c>
      <c r="N546" s="330" t="s">
        <v>69</v>
      </c>
      <c r="O546" s="330" t="s">
        <v>69</v>
      </c>
      <c r="P546" s="219">
        <v>0</v>
      </c>
      <c r="Q546" s="219">
        <v>0</v>
      </c>
      <c r="R546" s="329">
        <v>0</v>
      </c>
      <c r="S546" s="332" t="s">
        <v>69</v>
      </c>
      <c r="T546" s="329">
        <v>0</v>
      </c>
      <c r="U546" s="332" t="s">
        <v>69</v>
      </c>
    </row>
    <row r="547" spans="1:21" x14ac:dyDescent="0.2">
      <c r="A547" s="114">
        <v>0</v>
      </c>
      <c r="B547" s="218">
        <v>0</v>
      </c>
      <c r="C547" s="326">
        <v>0</v>
      </c>
      <c r="D547" s="326">
        <v>0</v>
      </c>
      <c r="E547" s="326">
        <v>0</v>
      </c>
      <c r="F547" s="327">
        <v>0</v>
      </c>
      <c r="G547" s="328">
        <v>0</v>
      </c>
      <c r="H547" s="328">
        <v>0</v>
      </c>
      <c r="I547" s="329">
        <v>0</v>
      </c>
      <c r="J547" s="329">
        <v>0</v>
      </c>
      <c r="K547" s="329">
        <v>0</v>
      </c>
      <c r="L547" s="219">
        <v>0</v>
      </c>
      <c r="M547" s="219">
        <v>0</v>
      </c>
      <c r="N547" s="330" t="s">
        <v>69</v>
      </c>
      <c r="O547" s="330" t="s">
        <v>69</v>
      </c>
      <c r="P547" s="219">
        <v>0</v>
      </c>
      <c r="Q547" s="219">
        <v>0</v>
      </c>
      <c r="R547" s="329">
        <v>0</v>
      </c>
      <c r="S547" s="332" t="s">
        <v>69</v>
      </c>
      <c r="T547" s="329">
        <v>0</v>
      </c>
      <c r="U547" s="332" t="s">
        <v>69</v>
      </c>
    </row>
    <row r="548" spans="1:21" x14ac:dyDescent="0.2">
      <c r="A548" s="114">
        <v>0</v>
      </c>
      <c r="B548" s="218">
        <v>0</v>
      </c>
      <c r="C548" s="326">
        <v>0</v>
      </c>
      <c r="D548" s="326">
        <v>0</v>
      </c>
      <c r="E548" s="326">
        <v>0</v>
      </c>
      <c r="F548" s="327">
        <v>0</v>
      </c>
      <c r="G548" s="328">
        <v>0</v>
      </c>
      <c r="H548" s="328">
        <v>0</v>
      </c>
      <c r="I548" s="329">
        <v>0</v>
      </c>
      <c r="J548" s="329">
        <v>0</v>
      </c>
      <c r="K548" s="329">
        <v>0</v>
      </c>
      <c r="L548" s="219">
        <v>0</v>
      </c>
      <c r="M548" s="219">
        <v>0</v>
      </c>
      <c r="N548" s="330" t="s">
        <v>69</v>
      </c>
      <c r="O548" s="330" t="s">
        <v>69</v>
      </c>
      <c r="P548" s="219">
        <v>0</v>
      </c>
      <c r="Q548" s="219">
        <v>0</v>
      </c>
      <c r="R548" s="329">
        <v>0</v>
      </c>
      <c r="S548" s="332" t="s">
        <v>69</v>
      </c>
      <c r="T548" s="329">
        <v>0</v>
      </c>
      <c r="U548" s="332" t="s">
        <v>69</v>
      </c>
    </row>
    <row r="549" spans="1:21" x14ac:dyDescent="0.2">
      <c r="A549" s="114">
        <v>0</v>
      </c>
      <c r="B549" s="218">
        <v>0</v>
      </c>
      <c r="C549" s="326">
        <v>0</v>
      </c>
      <c r="D549" s="326">
        <v>0</v>
      </c>
      <c r="E549" s="326">
        <v>0</v>
      </c>
      <c r="F549" s="327">
        <v>0</v>
      </c>
      <c r="G549" s="328">
        <v>0</v>
      </c>
      <c r="H549" s="328">
        <v>0</v>
      </c>
      <c r="I549" s="329">
        <v>0</v>
      </c>
      <c r="J549" s="329">
        <v>0</v>
      </c>
      <c r="K549" s="329">
        <v>0</v>
      </c>
      <c r="L549" s="219">
        <v>0</v>
      </c>
      <c r="M549" s="219">
        <v>0</v>
      </c>
      <c r="N549" s="330" t="s">
        <v>69</v>
      </c>
      <c r="O549" s="330" t="s">
        <v>69</v>
      </c>
      <c r="P549" s="219">
        <v>0</v>
      </c>
      <c r="Q549" s="219">
        <v>0</v>
      </c>
      <c r="R549" s="329">
        <v>0</v>
      </c>
      <c r="S549" s="332" t="s">
        <v>69</v>
      </c>
      <c r="T549" s="329">
        <v>0</v>
      </c>
      <c r="U549" s="332" t="s">
        <v>69</v>
      </c>
    </row>
    <row r="550" spans="1:21" x14ac:dyDescent="0.2">
      <c r="A550" s="114">
        <v>0</v>
      </c>
      <c r="B550" s="218">
        <v>0</v>
      </c>
      <c r="C550" s="326">
        <v>0</v>
      </c>
      <c r="D550" s="326">
        <v>0</v>
      </c>
      <c r="E550" s="326">
        <v>0</v>
      </c>
      <c r="F550" s="327">
        <v>0</v>
      </c>
      <c r="G550" s="328">
        <v>0</v>
      </c>
      <c r="H550" s="328">
        <v>0</v>
      </c>
      <c r="I550" s="329">
        <v>0</v>
      </c>
      <c r="J550" s="329">
        <v>0</v>
      </c>
      <c r="K550" s="329">
        <v>0</v>
      </c>
      <c r="L550" s="219">
        <v>0</v>
      </c>
      <c r="M550" s="219">
        <v>0</v>
      </c>
      <c r="N550" s="330" t="s">
        <v>69</v>
      </c>
      <c r="O550" s="330" t="s">
        <v>69</v>
      </c>
      <c r="P550" s="219">
        <v>0</v>
      </c>
      <c r="Q550" s="219">
        <v>0</v>
      </c>
      <c r="R550" s="329">
        <v>0</v>
      </c>
      <c r="S550" s="332" t="s">
        <v>69</v>
      </c>
      <c r="T550" s="329">
        <v>0</v>
      </c>
      <c r="U550" s="332" t="s">
        <v>69</v>
      </c>
    </row>
    <row r="552" spans="1:21" ht="15.75" thickBot="1" x14ac:dyDescent="0.25">
      <c r="A552" s="4" t="s">
        <v>176</v>
      </c>
      <c r="B552" s="38"/>
      <c r="C552" s="38"/>
      <c r="D552" s="38"/>
      <c r="E552" s="38"/>
      <c r="F552" s="38"/>
      <c r="G552" s="135"/>
      <c r="H552" s="33">
        <v>97</v>
      </c>
      <c r="I552" s="135"/>
      <c r="J552" s="135"/>
      <c r="K552" s="135"/>
      <c r="L552" s="333">
        <v>267393</v>
      </c>
      <c r="M552" s="333">
        <v>3208716</v>
      </c>
      <c r="N552" s="334"/>
      <c r="O552" s="334"/>
      <c r="Q552" s="259"/>
      <c r="R552" s="335" t="s">
        <v>568</v>
      </c>
      <c r="S552" s="336">
        <v>0</v>
      </c>
      <c r="U552" s="336">
        <v>0</v>
      </c>
    </row>
    <row r="553" spans="1:21" ht="15.75" thickTop="1" x14ac:dyDescent="0.2"/>
    <row r="554" spans="1:21" x14ac:dyDescent="0.2">
      <c r="O554" s="337" t="s">
        <v>569</v>
      </c>
      <c r="P554" s="337"/>
      <c r="Q554" s="337"/>
      <c r="R554" s="338" t="s">
        <v>570</v>
      </c>
      <c r="S554" s="339" t="s">
        <v>405</v>
      </c>
      <c r="T554" s="337"/>
      <c r="U554" s="339" t="s">
        <v>405</v>
      </c>
    </row>
    <row r="556" spans="1:21" x14ac:dyDescent="0.2">
      <c r="A556" s="4"/>
      <c r="B556" s="4"/>
      <c r="C556" s="4"/>
      <c r="D556" s="4"/>
      <c r="E556" s="4"/>
      <c r="F556" s="259" t="s">
        <v>267</v>
      </c>
      <c r="G556" s="340">
        <v>42222</v>
      </c>
      <c r="H556" s="340">
        <v>96</v>
      </c>
      <c r="I556" s="26"/>
      <c r="J556" s="26"/>
      <c r="K556" s="26"/>
      <c r="L556" s="340">
        <v>267393</v>
      </c>
      <c r="M556" s="340">
        <v>3208716</v>
      </c>
      <c r="N556" s="26"/>
      <c r="O556" s="26"/>
      <c r="R556" s="335" t="s">
        <v>568</v>
      </c>
      <c r="S556" s="341">
        <v>0</v>
      </c>
      <c r="U556" s="341">
        <v>0</v>
      </c>
    </row>
    <row r="557" spans="1:21" x14ac:dyDescent="0.2">
      <c r="F557" s="259" t="s">
        <v>268</v>
      </c>
      <c r="G557" s="340">
        <v>0</v>
      </c>
      <c r="H557" s="340">
        <v>0</v>
      </c>
      <c r="J557" s="4"/>
      <c r="K557" s="4"/>
      <c r="L557" s="340">
        <v>0</v>
      </c>
      <c r="M557" s="340">
        <v>0</v>
      </c>
      <c r="N557" s="135"/>
      <c r="O557" s="135"/>
      <c r="P557" s="128"/>
      <c r="R557" s="234" t="s">
        <v>571</v>
      </c>
      <c r="S557" s="342">
        <v>0</v>
      </c>
      <c r="T557" s="234"/>
      <c r="U557" s="342">
        <v>0</v>
      </c>
    </row>
    <row r="558" spans="1:21" x14ac:dyDescent="0.2">
      <c r="A558" s="4"/>
      <c r="F558" s="259" t="s">
        <v>354</v>
      </c>
      <c r="G558" s="340">
        <v>0</v>
      </c>
      <c r="H558" s="340">
        <v>0</v>
      </c>
      <c r="I558" s="26"/>
      <c r="J558" s="26"/>
      <c r="K558" s="26"/>
      <c r="L558" s="340">
        <v>0</v>
      </c>
      <c r="M558" s="340">
        <v>0</v>
      </c>
      <c r="N558" s="259"/>
      <c r="O558" s="259"/>
      <c r="P558" s="259"/>
      <c r="Q558" s="259"/>
      <c r="R558" s="259"/>
      <c r="S558" s="259"/>
      <c r="T558" s="259"/>
      <c r="U558" s="259"/>
    </row>
    <row r="559" spans="1:21" x14ac:dyDescent="0.2">
      <c r="A559" s="4"/>
      <c r="F559" s="259" t="s">
        <v>572</v>
      </c>
      <c r="G559" s="340">
        <v>748</v>
      </c>
      <c r="H559" s="340">
        <v>1</v>
      </c>
      <c r="J559" s="4"/>
      <c r="K559" s="4"/>
      <c r="L559" s="340">
        <v>0</v>
      </c>
      <c r="M559" s="340">
        <v>0</v>
      </c>
      <c r="N559" s="26"/>
      <c r="O559" s="135"/>
      <c r="R559" s="259" t="s">
        <v>573</v>
      </c>
      <c r="S559" s="341">
        <v>0</v>
      </c>
      <c r="U559" s="341">
        <v>0</v>
      </c>
    </row>
    <row r="560" spans="1:21" x14ac:dyDescent="0.2">
      <c r="A560" s="4" t="s">
        <v>574</v>
      </c>
      <c r="G560" s="7">
        <v>0</v>
      </c>
      <c r="H560" s="340">
        <v>0</v>
      </c>
      <c r="I560" s="259"/>
      <c r="J560" s="4"/>
      <c r="K560" s="4"/>
      <c r="L560" s="340">
        <v>0</v>
      </c>
      <c r="M560" s="340">
        <v>0</v>
      </c>
      <c r="N560" s="259"/>
      <c r="O560" s="259"/>
      <c r="P560" s="259"/>
      <c r="Q560" s="259"/>
      <c r="R560" s="234" t="s">
        <v>571</v>
      </c>
      <c r="S560" s="342">
        <v>0</v>
      </c>
      <c r="T560" s="234"/>
      <c r="U560" s="342">
        <v>0</v>
      </c>
    </row>
    <row r="561" spans="1:21" x14ac:dyDescent="0.2">
      <c r="N561" s="259"/>
      <c r="O561" s="259"/>
      <c r="P561" s="259"/>
      <c r="Q561" s="259"/>
      <c r="R561" s="259"/>
      <c r="S561" s="259"/>
      <c r="T561" s="259"/>
      <c r="U561" s="259"/>
    </row>
    <row r="562" spans="1:21" x14ac:dyDescent="0.2">
      <c r="F562" s="259" t="s">
        <v>575</v>
      </c>
      <c r="H562" s="340">
        <v>1</v>
      </c>
      <c r="I562" s="4"/>
      <c r="J562" s="4"/>
      <c r="K562" s="4"/>
      <c r="L562" s="340">
        <v>0</v>
      </c>
      <c r="M562" s="340">
        <v>0</v>
      </c>
      <c r="N562" s="4"/>
      <c r="O562" s="4"/>
      <c r="P562" s="4"/>
      <c r="Q562" s="4"/>
      <c r="R562" s="335" t="s">
        <v>576</v>
      </c>
      <c r="S562" s="341">
        <v>0</v>
      </c>
      <c r="U562" s="341">
        <v>0</v>
      </c>
    </row>
    <row r="563" spans="1:21" x14ac:dyDescent="0.2">
      <c r="M563" s="4"/>
      <c r="N563" s="4"/>
      <c r="O563" s="4"/>
      <c r="P563" s="4"/>
      <c r="Q563" s="4"/>
      <c r="R563" s="234" t="s">
        <v>571</v>
      </c>
      <c r="S563" s="342">
        <v>0</v>
      </c>
      <c r="T563" s="234"/>
      <c r="U563" s="342">
        <v>0</v>
      </c>
    </row>
    <row r="564" spans="1:21" x14ac:dyDescent="0.2">
      <c r="M564" s="4"/>
      <c r="N564" s="4"/>
      <c r="O564" s="4"/>
      <c r="P564" s="4"/>
      <c r="Q564" s="4"/>
      <c r="R564" s="4"/>
      <c r="S564" s="4"/>
      <c r="T564" s="4"/>
      <c r="U564" s="4"/>
    </row>
    <row r="566" spans="1:21" x14ac:dyDescent="0.2">
      <c r="R566" s="259" t="s">
        <v>354</v>
      </c>
      <c r="U566" s="336">
        <v>0</v>
      </c>
    </row>
    <row r="567" spans="1:21" s="132" customFormat="1" x14ac:dyDescent="0.2"/>
    <row r="568" spans="1:21" ht="18.75" thickBot="1" x14ac:dyDescent="0.3">
      <c r="A568" s="550" t="s">
        <v>577</v>
      </c>
      <c r="B568" s="550"/>
      <c r="C568" s="550"/>
      <c r="D568" s="550"/>
      <c r="E568" s="550"/>
      <c r="F568" s="2"/>
      <c r="G568" s="2"/>
      <c r="H568" s="2"/>
      <c r="I568" s="2"/>
      <c r="J568" s="2"/>
      <c r="K568" s="6" t="s">
        <v>69</v>
      </c>
    </row>
    <row r="569" spans="1:21" x14ac:dyDescent="0.2">
      <c r="A569" s="546" t="s">
        <v>1135</v>
      </c>
      <c r="B569" s="546"/>
      <c r="C569" s="546"/>
      <c r="D569" s="546"/>
      <c r="E569" s="546"/>
      <c r="F569" s="10"/>
      <c r="G569" s="10"/>
      <c r="H569" s="10"/>
      <c r="I569" s="10"/>
      <c r="J569" s="10"/>
      <c r="K569" s="13" t="s">
        <v>578</v>
      </c>
    </row>
    <row r="570" spans="1:21" x14ac:dyDescent="0.2">
      <c r="A570" s="47"/>
      <c r="B570" s="47"/>
      <c r="C570" s="47"/>
      <c r="D570" s="47"/>
      <c r="E570" s="47"/>
      <c r="F570" s="47"/>
      <c r="G570" s="47"/>
      <c r="H570" s="47"/>
      <c r="I570" s="47"/>
      <c r="J570" s="47"/>
      <c r="K570" s="47"/>
    </row>
    <row r="571" spans="1:21" x14ac:dyDescent="0.2">
      <c r="A571" s="47"/>
      <c r="B571" s="47"/>
      <c r="C571" s="47"/>
      <c r="D571" s="47"/>
      <c r="E571" s="47"/>
      <c r="F571" s="47"/>
      <c r="G571" s="47"/>
      <c r="H571" s="47"/>
      <c r="I571" s="47"/>
      <c r="J571" s="47"/>
      <c r="K571" s="47"/>
    </row>
    <row r="572" spans="1:21" x14ac:dyDescent="0.2">
      <c r="A572" s="229" t="s">
        <v>333</v>
      </c>
      <c r="B572" s="47"/>
      <c r="C572" s="47"/>
      <c r="D572" s="47"/>
      <c r="E572" s="47"/>
      <c r="F572" s="47"/>
      <c r="G572" s="47"/>
      <c r="H572" s="47"/>
      <c r="I572" s="47"/>
      <c r="J572" s="47"/>
      <c r="K572" s="47"/>
    </row>
    <row r="573" spans="1:21" x14ac:dyDescent="0.2">
      <c r="A573" s="47"/>
      <c r="B573" s="47"/>
      <c r="C573" s="47"/>
      <c r="D573" s="47"/>
      <c r="E573" s="47"/>
      <c r="F573" s="47"/>
      <c r="G573" s="47"/>
      <c r="H573" s="47"/>
      <c r="I573" s="47"/>
      <c r="J573" s="47"/>
      <c r="K573" s="47"/>
    </row>
    <row r="574" spans="1:21" x14ac:dyDescent="0.2">
      <c r="A574" s="40"/>
      <c r="B574" s="40"/>
      <c r="C574" s="40"/>
      <c r="D574" s="40" t="s">
        <v>357</v>
      </c>
      <c r="E574" s="40" t="s">
        <v>357</v>
      </c>
      <c r="F574" s="40" t="s">
        <v>358</v>
      </c>
      <c r="G574" s="40" t="s">
        <v>358</v>
      </c>
      <c r="H574" s="40"/>
      <c r="I574" s="40" t="s">
        <v>358</v>
      </c>
      <c r="J574" s="40" t="s">
        <v>357</v>
      </c>
      <c r="K574" s="47"/>
    </row>
    <row r="575" spans="1:21" x14ac:dyDescent="0.2">
      <c r="A575" s="310" t="s">
        <v>579</v>
      </c>
      <c r="B575" s="310" t="s">
        <v>580</v>
      </c>
      <c r="C575" s="310" t="s">
        <v>561</v>
      </c>
      <c r="D575" s="310" t="s">
        <v>581</v>
      </c>
      <c r="E575" s="310" t="s">
        <v>582</v>
      </c>
      <c r="F575" s="310" t="s">
        <v>581</v>
      </c>
      <c r="G575" s="310" t="s">
        <v>582</v>
      </c>
      <c r="H575" s="310" t="s">
        <v>583</v>
      </c>
      <c r="I575" s="310" t="s">
        <v>449</v>
      </c>
      <c r="J575" s="310" t="s">
        <v>449</v>
      </c>
      <c r="K575" s="47"/>
    </row>
    <row r="576" spans="1:21" x14ac:dyDescent="0.2">
      <c r="A576" s="343" t="s">
        <v>1164</v>
      </c>
      <c r="B576" s="343" t="s">
        <v>370</v>
      </c>
      <c r="C576" s="344">
        <v>97</v>
      </c>
      <c r="D576" s="345">
        <v>10</v>
      </c>
      <c r="E576" s="98">
        <v>970</v>
      </c>
      <c r="F576" s="345">
        <v>0</v>
      </c>
      <c r="G576" s="98">
        <v>0</v>
      </c>
      <c r="H576" s="346">
        <v>0.9</v>
      </c>
      <c r="I576" s="98">
        <v>10476</v>
      </c>
      <c r="J576" s="347">
        <v>873</v>
      </c>
      <c r="K576" s="47"/>
    </row>
    <row r="577" spans="1:11" x14ac:dyDescent="0.2">
      <c r="A577" s="343">
        <v>0</v>
      </c>
      <c r="B577" s="343">
        <v>0</v>
      </c>
      <c r="C577" s="344">
        <v>0</v>
      </c>
      <c r="D577" s="345">
        <v>0</v>
      </c>
      <c r="E577" s="98">
        <v>0</v>
      </c>
      <c r="F577" s="345">
        <v>0</v>
      </c>
      <c r="G577" s="98">
        <v>0</v>
      </c>
      <c r="H577" s="346">
        <v>0</v>
      </c>
      <c r="I577" s="98">
        <v>0</v>
      </c>
      <c r="J577" s="347">
        <v>0</v>
      </c>
      <c r="K577" s="47"/>
    </row>
    <row r="578" spans="1:11" x14ac:dyDescent="0.2">
      <c r="A578" s="343" t="s">
        <v>183</v>
      </c>
      <c r="B578" s="343">
        <v>0</v>
      </c>
      <c r="C578" s="344">
        <v>0</v>
      </c>
      <c r="D578" s="345">
        <v>0</v>
      </c>
      <c r="E578" s="98">
        <v>0</v>
      </c>
      <c r="F578" s="345">
        <v>0</v>
      </c>
      <c r="G578" s="98">
        <v>0</v>
      </c>
      <c r="H578" s="346">
        <v>0</v>
      </c>
      <c r="I578" s="98">
        <v>0</v>
      </c>
      <c r="J578" s="347">
        <v>0</v>
      </c>
      <c r="K578" s="47"/>
    </row>
    <row r="579" spans="1:11" x14ac:dyDescent="0.2">
      <c r="A579" s="343" t="s">
        <v>183</v>
      </c>
      <c r="B579" s="343">
        <v>0</v>
      </c>
      <c r="C579" s="344">
        <v>0</v>
      </c>
      <c r="D579" s="345">
        <v>0</v>
      </c>
      <c r="E579" s="98">
        <v>0</v>
      </c>
      <c r="F579" s="345">
        <v>0</v>
      </c>
      <c r="G579" s="98">
        <v>0</v>
      </c>
      <c r="H579" s="346">
        <v>0</v>
      </c>
      <c r="I579" s="98">
        <v>0</v>
      </c>
      <c r="J579" s="347">
        <v>0</v>
      </c>
      <c r="K579" s="47"/>
    </row>
    <row r="580" spans="1:11" x14ac:dyDescent="0.2">
      <c r="A580" s="343" t="s">
        <v>183</v>
      </c>
      <c r="B580" s="343">
        <v>0</v>
      </c>
      <c r="C580" s="344">
        <v>0</v>
      </c>
      <c r="D580" s="345">
        <v>0</v>
      </c>
      <c r="E580" s="98">
        <v>0</v>
      </c>
      <c r="F580" s="345">
        <v>0</v>
      </c>
      <c r="G580" s="98">
        <v>0</v>
      </c>
      <c r="H580" s="346">
        <v>0</v>
      </c>
      <c r="I580" s="98">
        <v>0</v>
      </c>
      <c r="J580" s="347">
        <v>0</v>
      </c>
      <c r="K580" s="47"/>
    </row>
    <row r="581" spans="1:11" x14ac:dyDescent="0.2">
      <c r="A581" s="343" t="s">
        <v>183</v>
      </c>
      <c r="B581" s="343">
        <v>0</v>
      </c>
      <c r="C581" s="344">
        <v>0</v>
      </c>
      <c r="D581" s="345">
        <v>0</v>
      </c>
      <c r="E581" s="98">
        <v>0</v>
      </c>
      <c r="F581" s="345">
        <v>0</v>
      </c>
      <c r="G581" s="98">
        <v>0</v>
      </c>
      <c r="H581" s="346">
        <v>0</v>
      </c>
      <c r="I581" s="98">
        <v>0</v>
      </c>
      <c r="J581" s="347">
        <v>0</v>
      </c>
      <c r="K581" s="47"/>
    </row>
    <row r="582" spans="1:11" x14ac:dyDescent="0.2">
      <c r="A582" s="343" t="s">
        <v>183</v>
      </c>
      <c r="B582" s="343">
        <v>0</v>
      </c>
      <c r="C582" s="344">
        <v>0</v>
      </c>
      <c r="D582" s="345">
        <v>0</v>
      </c>
      <c r="E582" s="98">
        <v>0</v>
      </c>
      <c r="F582" s="345">
        <v>0</v>
      </c>
      <c r="G582" s="98">
        <v>0</v>
      </c>
      <c r="H582" s="346">
        <v>0</v>
      </c>
      <c r="I582" s="98">
        <v>0</v>
      </c>
      <c r="J582" s="347">
        <v>0</v>
      </c>
      <c r="K582" s="47"/>
    </row>
    <row r="583" spans="1:11" x14ac:dyDescent="0.2">
      <c r="A583" s="343" t="s">
        <v>183</v>
      </c>
      <c r="B583" s="343">
        <v>0</v>
      </c>
      <c r="C583" s="344">
        <v>0</v>
      </c>
      <c r="D583" s="345">
        <v>0</v>
      </c>
      <c r="E583" s="98">
        <v>0</v>
      </c>
      <c r="F583" s="345">
        <v>0</v>
      </c>
      <c r="G583" s="98">
        <v>0</v>
      </c>
      <c r="H583" s="346">
        <v>0</v>
      </c>
      <c r="I583" s="98">
        <v>0</v>
      </c>
      <c r="J583" s="347">
        <v>0</v>
      </c>
      <c r="K583" s="47"/>
    </row>
    <row r="584" spans="1:11" x14ac:dyDescent="0.2">
      <c r="A584" s="343" t="s">
        <v>183</v>
      </c>
      <c r="B584" s="343">
        <v>0</v>
      </c>
      <c r="C584" s="344">
        <v>0</v>
      </c>
      <c r="D584" s="345">
        <v>0</v>
      </c>
      <c r="E584" s="98">
        <v>0</v>
      </c>
      <c r="F584" s="345">
        <v>0</v>
      </c>
      <c r="G584" s="98">
        <v>0</v>
      </c>
      <c r="H584" s="346">
        <v>0</v>
      </c>
      <c r="I584" s="98">
        <v>0</v>
      </c>
      <c r="J584" s="347">
        <v>0</v>
      </c>
      <c r="K584" s="47"/>
    </row>
    <row r="585" spans="1:11" x14ac:dyDescent="0.2">
      <c r="A585" s="343" t="s">
        <v>183</v>
      </c>
      <c r="B585" s="343">
        <v>0</v>
      </c>
      <c r="C585" s="344">
        <v>0</v>
      </c>
      <c r="D585" s="345">
        <v>0</v>
      </c>
      <c r="E585" s="98">
        <v>0</v>
      </c>
      <c r="F585" s="345">
        <v>0</v>
      </c>
      <c r="G585" s="98">
        <v>0</v>
      </c>
      <c r="H585" s="346">
        <v>0</v>
      </c>
      <c r="I585" s="98">
        <v>0</v>
      </c>
      <c r="J585" s="347">
        <v>0</v>
      </c>
      <c r="K585" s="47"/>
    </row>
    <row r="586" spans="1:11" x14ac:dyDescent="0.2">
      <c r="A586" s="343" t="s">
        <v>183</v>
      </c>
      <c r="B586" s="343">
        <v>0</v>
      </c>
      <c r="C586" s="344">
        <v>0</v>
      </c>
      <c r="D586" s="345">
        <v>0</v>
      </c>
      <c r="E586" s="98">
        <v>0</v>
      </c>
      <c r="F586" s="345">
        <v>0</v>
      </c>
      <c r="G586" s="98">
        <v>0</v>
      </c>
      <c r="H586" s="346">
        <v>0</v>
      </c>
      <c r="I586" s="98">
        <v>0</v>
      </c>
      <c r="J586" s="347">
        <v>0</v>
      </c>
      <c r="K586" s="47"/>
    </row>
    <row r="587" spans="1:11" x14ac:dyDescent="0.2">
      <c r="A587" s="343" t="s">
        <v>183</v>
      </c>
      <c r="B587" s="343">
        <v>0</v>
      </c>
      <c r="C587" s="344">
        <v>0</v>
      </c>
      <c r="D587" s="345">
        <v>0</v>
      </c>
      <c r="E587" s="98">
        <v>0</v>
      </c>
      <c r="F587" s="345">
        <v>0</v>
      </c>
      <c r="G587" s="98">
        <v>0</v>
      </c>
      <c r="H587" s="346">
        <v>0</v>
      </c>
      <c r="I587" s="98">
        <v>0</v>
      </c>
      <c r="J587" s="347">
        <v>0</v>
      </c>
      <c r="K587" s="47"/>
    </row>
    <row r="588" spans="1:11" x14ac:dyDescent="0.2">
      <c r="A588" s="343" t="s">
        <v>183</v>
      </c>
      <c r="B588" s="343">
        <v>0</v>
      </c>
      <c r="C588" s="344">
        <v>0</v>
      </c>
      <c r="D588" s="345">
        <v>0</v>
      </c>
      <c r="E588" s="98">
        <v>0</v>
      </c>
      <c r="F588" s="345">
        <v>0</v>
      </c>
      <c r="G588" s="98">
        <v>0</v>
      </c>
      <c r="H588" s="346">
        <v>0</v>
      </c>
      <c r="I588" s="98">
        <v>0</v>
      </c>
      <c r="J588" s="347">
        <v>0</v>
      </c>
      <c r="K588" s="47"/>
    </row>
    <row r="589" spans="1:11" x14ac:dyDescent="0.2">
      <c r="A589" s="343" t="s">
        <v>183</v>
      </c>
      <c r="B589" s="343">
        <v>0</v>
      </c>
      <c r="C589" s="344">
        <v>0</v>
      </c>
      <c r="D589" s="345">
        <v>0</v>
      </c>
      <c r="E589" s="98">
        <v>0</v>
      </c>
      <c r="F589" s="345">
        <v>0</v>
      </c>
      <c r="G589" s="98">
        <v>0</v>
      </c>
      <c r="H589" s="346">
        <v>0</v>
      </c>
      <c r="I589" s="98">
        <v>0</v>
      </c>
      <c r="J589" s="347">
        <v>0</v>
      </c>
      <c r="K589" s="47"/>
    </row>
    <row r="590" spans="1:11" x14ac:dyDescent="0.2">
      <c r="A590" s="343" t="s">
        <v>183</v>
      </c>
      <c r="B590" s="343">
        <v>0</v>
      </c>
      <c r="C590" s="344">
        <v>0</v>
      </c>
      <c r="D590" s="345">
        <v>0</v>
      </c>
      <c r="E590" s="98">
        <v>0</v>
      </c>
      <c r="F590" s="345">
        <v>0</v>
      </c>
      <c r="G590" s="98">
        <v>0</v>
      </c>
      <c r="H590" s="346">
        <v>0</v>
      </c>
      <c r="I590" s="135">
        <v>0</v>
      </c>
      <c r="J590" s="347">
        <v>0</v>
      </c>
      <c r="K590" s="47"/>
    </row>
    <row r="591" spans="1:11" ht="15.75" thickBot="1" x14ac:dyDescent="0.25">
      <c r="A591" s="47"/>
      <c r="B591" s="47"/>
      <c r="C591" s="47"/>
      <c r="D591" s="47"/>
      <c r="E591" s="236">
        <v>970</v>
      </c>
      <c r="F591" s="47"/>
      <c r="G591" s="236">
        <v>0</v>
      </c>
      <c r="H591" s="47"/>
      <c r="I591" s="236">
        <v>10476</v>
      </c>
      <c r="J591" s="238">
        <v>873</v>
      </c>
      <c r="K591" s="47"/>
    </row>
    <row r="592" spans="1:11" ht="15.75" thickTop="1" x14ac:dyDescent="0.2">
      <c r="A592" s="47"/>
      <c r="B592" s="47"/>
      <c r="C592" s="47"/>
      <c r="D592" s="47"/>
      <c r="E592" s="47"/>
      <c r="F592" s="47"/>
      <c r="G592" s="47"/>
      <c r="H592" s="47" t="s">
        <v>380</v>
      </c>
      <c r="I592" s="47">
        <v>108</v>
      </c>
      <c r="J592" s="47">
        <v>9</v>
      </c>
      <c r="K592" s="47"/>
    </row>
    <row r="593" spans="1:11" x14ac:dyDescent="0.2">
      <c r="A593" s="47"/>
      <c r="B593" s="47"/>
      <c r="C593" s="47"/>
      <c r="D593" s="47"/>
      <c r="E593" s="47"/>
      <c r="F593" s="47"/>
      <c r="G593" s="47"/>
      <c r="H593" s="47"/>
      <c r="I593" s="47"/>
      <c r="J593" s="47"/>
      <c r="K593" s="47"/>
    </row>
    <row r="594" spans="1:11" x14ac:dyDescent="0.2">
      <c r="A594" s="229" t="s">
        <v>334</v>
      </c>
      <c r="B594" s="47"/>
      <c r="C594" s="47"/>
      <c r="D594" s="47"/>
      <c r="E594" s="47"/>
      <c r="F594" s="47"/>
      <c r="G594" s="47"/>
      <c r="H594" s="47"/>
      <c r="I594" s="47"/>
      <c r="J594" s="47"/>
      <c r="K594" s="47"/>
    </row>
    <row r="595" spans="1:11" x14ac:dyDescent="0.2">
      <c r="A595" s="47"/>
      <c r="B595" s="47"/>
      <c r="C595" s="47"/>
      <c r="D595" s="40" t="s">
        <v>582</v>
      </c>
      <c r="E595" s="40" t="s">
        <v>584</v>
      </c>
      <c r="F595" s="40" t="s">
        <v>449</v>
      </c>
      <c r="G595" s="40"/>
      <c r="H595" s="47"/>
      <c r="I595" s="47"/>
      <c r="J595" s="47"/>
      <c r="K595" s="47"/>
    </row>
    <row r="596" spans="1:11" x14ac:dyDescent="0.2">
      <c r="A596" s="40"/>
      <c r="B596" s="40" t="s">
        <v>585</v>
      </c>
      <c r="C596" s="40" t="s">
        <v>586</v>
      </c>
      <c r="D596" s="40" t="s">
        <v>587</v>
      </c>
      <c r="E596" s="40" t="s">
        <v>588</v>
      </c>
      <c r="F596" s="40" t="s">
        <v>587</v>
      </c>
      <c r="G596" s="40" t="s">
        <v>358</v>
      </c>
      <c r="H596" s="40"/>
      <c r="I596" s="40"/>
      <c r="J596" s="40"/>
      <c r="K596" s="47"/>
    </row>
    <row r="597" spans="1:11" x14ac:dyDescent="0.2">
      <c r="A597" s="310" t="s">
        <v>589</v>
      </c>
      <c r="B597" s="310" t="s">
        <v>590</v>
      </c>
      <c r="C597" s="310" t="s">
        <v>591</v>
      </c>
      <c r="D597" s="310" t="s">
        <v>592</v>
      </c>
      <c r="E597" s="310" t="s">
        <v>592</v>
      </c>
      <c r="F597" s="310" t="s">
        <v>592</v>
      </c>
      <c r="G597" s="310" t="s">
        <v>593</v>
      </c>
      <c r="H597" s="310" t="s">
        <v>583</v>
      </c>
      <c r="I597" s="310" t="s">
        <v>358</v>
      </c>
      <c r="J597" s="310" t="s">
        <v>357</v>
      </c>
      <c r="K597" s="310" t="s">
        <v>594</v>
      </c>
    </row>
    <row r="598" spans="1:11" x14ac:dyDescent="0.2">
      <c r="A598" s="348" t="s">
        <v>183</v>
      </c>
      <c r="B598" s="344">
        <v>0</v>
      </c>
      <c r="C598" s="103">
        <v>0</v>
      </c>
      <c r="D598" s="345">
        <v>0</v>
      </c>
      <c r="E598" s="345">
        <v>0</v>
      </c>
      <c r="F598" s="345">
        <v>0</v>
      </c>
      <c r="G598" s="98">
        <v>0</v>
      </c>
      <c r="H598" s="346">
        <v>0</v>
      </c>
      <c r="I598" s="98">
        <v>0</v>
      </c>
      <c r="J598" s="347">
        <v>0</v>
      </c>
      <c r="K598" s="349">
        <v>1</v>
      </c>
    </row>
    <row r="599" spans="1:11" x14ac:dyDescent="0.2">
      <c r="A599" s="348" t="s">
        <v>183</v>
      </c>
      <c r="B599" s="344">
        <v>0</v>
      </c>
      <c r="C599" s="103">
        <v>0</v>
      </c>
      <c r="D599" s="345">
        <v>0</v>
      </c>
      <c r="E599" s="345">
        <v>0</v>
      </c>
      <c r="F599" s="345">
        <v>0</v>
      </c>
      <c r="G599" s="98">
        <v>0</v>
      </c>
      <c r="H599" s="346">
        <v>0</v>
      </c>
      <c r="I599" s="98">
        <v>0</v>
      </c>
      <c r="J599" s="347">
        <v>0</v>
      </c>
      <c r="K599" s="349">
        <v>1</v>
      </c>
    </row>
    <row r="600" spans="1:11" x14ac:dyDescent="0.2">
      <c r="A600" s="348" t="s">
        <v>183</v>
      </c>
      <c r="B600" s="344">
        <v>0</v>
      </c>
      <c r="C600" s="103">
        <v>0</v>
      </c>
      <c r="D600" s="345">
        <v>0</v>
      </c>
      <c r="E600" s="345">
        <v>0</v>
      </c>
      <c r="F600" s="345">
        <v>0</v>
      </c>
      <c r="G600" s="98">
        <v>0</v>
      </c>
      <c r="H600" s="346">
        <v>0</v>
      </c>
      <c r="I600" s="98">
        <v>0</v>
      </c>
      <c r="J600" s="347">
        <v>0</v>
      </c>
      <c r="K600" s="349">
        <v>1</v>
      </c>
    </row>
    <row r="601" spans="1:11" x14ac:dyDescent="0.2">
      <c r="A601" s="348" t="s">
        <v>183</v>
      </c>
      <c r="B601" s="344">
        <v>0</v>
      </c>
      <c r="C601" s="103">
        <v>0</v>
      </c>
      <c r="D601" s="345">
        <v>0</v>
      </c>
      <c r="E601" s="345">
        <v>0</v>
      </c>
      <c r="F601" s="345">
        <v>0</v>
      </c>
      <c r="G601" s="98">
        <v>0</v>
      </c>
      <c r="H601" s="346">
        <v>0</v>
      </c>
      <c r="I601" s="98">
        <v>0</v>
      </c>
      <c r="J601" s="347">
        <v>0</v>
      </c>
      <c r="K601" s="349">
        <v>1</v>
      </c>
    </row>
    <row r="602" spans="1:11" x14ac:dyDescent="0.2">
      <c r="A602" s="348" t="s">
        <v>183</v>
      </c>
      <c r="B602" s="344">
        <v>0</v>
      </c>
      <c r="C602" s="103">
        <v>0</v>
      </c>
      <c r="D602" s="345">
        <v>0</v>
      </c>
      <c r="E602" s="345">
        <v>0</v>
      </c>
      <c r="F602" s="345">
        <v>0</v>
      </c>
      <c r="G602" s="98">
        <v>0</v>
      </c>
      <c r="H602" s="346">
        <v>0</v>
      </c>
      <c r="I602" s="98">
        <v>0</v>
      </c>
      <c r="J602" s="347">
        <v>0</v>
      </c>
      <c r="K602" s="349">
        <v>1</v>
      </c>
    </row>
    <row r="603" spans="1:11" x14ac:dyDescent="0.2">
      <c r="A603" s="348" t="s">
        <v>183</v>
      </c>
      <c r="B603" s="344">
        <v>0</v>
      </c>
      <c r="C603" s="103">
        <v>0</v>
      </c>
      <c r="D603" s="345">
        <v>0</v>
      </c>
      <c r="E603" s="345">
        <v>0</v>
      </c>
      <c r="F603" s="345">
        <v>0</v>
      </c>
      <c r="G603" s="98">
        <v>0</v>
      </c>
      <c r="H603" s="346">
        <v>0</v>
      </c>
      <c r="I603" s="98">
        <v>0</v>
      </c>
      <c r="J603" s="347">
        <v>0</v>
      </c>
      <c r="K603" s="349">
        <v>1</v>
      </c>
    </row>
    <row r="604" spans="1:11" x14ac:dyDescent="0.2">
      <c r="A604" s="348" t="s">
        <v>183</v>
      </c>
      <c r="B604" s="344">
        <v>0</v>
      </c>
      <c r="C604" s="103">
        <v>0</v>
      </c>
      <c r="D604" s="345">
        <v>0</v>
      </c>
      <c r="E604" s="345">
        <v>0</v>
      </c>
      <c r="F604" s="345">
        <v>0</v>
      </c>
      <c r="G604" s="98">
        <v>0</v>
      </c>
      <c r="H604" s="346">
        <v>0</v>
      </c>
      <c r="I604" s="98">
        <v>0</v>
      </c>
      <c r="J604" s="347">
        <v>0</v>
      </c>
      <c r="K604" s="349">
        <v>1</v>
      </c>
    </row>
    <row r="605" spans="1:11" x14ac:dyDescent="0.2">
      <c r="A605" s="348" t="s">
        <v>183</v>
      </c>
      <c r="B605" s="344">
        <v>0</v>
      </c>
      <c r="C605" s="103">
        <v>0</v>
      </c>
      <c r="D605" s="345">
        <v>0</v>
      </c>
      <c r="E605" s="345">
        <v>0</v>
      </c>
      <c r="F605" s="345">
        <v>0</v>
      </c>
      <c r="G605" s="98">
        <v>0</v>
      </c>
      <c r="H605" s="346">
        <v>0</v>
      </c>
      <c r="I605" s="98">
        <v>0</v>
      </c>
      <c r="J605" s="347">
        <v>0</v>
      </c>
      <c r="K605" s="349">
        <v>1</v>
      </c>
    </row>
    <row r="606" spans="1:11" x14ac:dyDescent="0.2">
      <c r="A606" s="348" t="s">
        <v>183</v>
      </c>
      <c r="B606" s="344">
        <v>0</v>
      </c>
      <c r="C606" s="103">
        <v>0</v>
      </c>
      <c r="D606" s="345">
        <v>0</v>
      </c>
      <c r="E606" s="345">
        <v>0</v>
      </c>
      <c r="F606" s="345">
        <v>0</v>
      </c>
      <c r="G606" s="98">
        <v>0</v>
      </c>
      <c r="H606" s="346">
        <v>0</v>
      </c>
      <c r="I606" s="98">
        <v>0</v>
      </c>
      <c r="J606" s="347">
        <v>0</v>
      </c>
      <c r="K606" s="349">
        <v>1</v>
      </c>
    </row>
    <row r="607" spans="1:11" x14ac:dyDescent="0.2">
      <c r="A607" s="348" t="s">
        <v>183</v>
      </c>
      <c r="B607" s="344">
        <v>0</v>
      </c>
      <c r="C607" s="103">
        <v>0</v>
      </c>
      <c r="D607" s="345">
        <v>0</v>
      </c>
      <c r="E607" s="345">
        <v>0</v>
      </c>
      <c r="F607" s="345">
        <v>0</v>
      </c>
      <c r="G607" s="98">
        <v>0</v>
      </c>
      <c r="H607" s="346">
        <v>0</v>
      </c>
      <c r="I607" s="98">
        <v>0</v>
      </c>
      <c r="J607" s="347">
        <v>0</v>
      </c>
      <c r="K607" s="349">
        <v>1</v>
      </c>
    </row>
    <row r="608" spans="1:11" ht="15.75" thickBot="1" x14ac:dyDescent="0.25">
      <c r="A608" s="47"/>
      <c r="B608" s="350">
        <v>0</v>
      </c>
      <c r="C608" s="47"/>
      <c r="D608" s="47"/>
      <c r="E608" s="47"/>
      <c r="F608" s="47"/>
      <c r="G608" s="236">
        <v>0</v>
      </c>
      <c r="H608" s="47"/>
      <c r="I608" s="236">
        <v>0</v>
      </c>
      <c r="J608" s="238">
        <v>0</v>
      </c>
      <c r="K608" s="47"/>
    </row>
    <row r="609" spans="1:11" s="132" customFormat="1" ht="15.75" thickTop="1" x14ac:dyDescent="0.2">
      <c r="A609" s="351"/>
      <c r="B609" s="351"/>
      <c r="C609" s="351"/>
      <c r="D609" s="351"/>
      <c r="E609" s="351"/>
      <c r="F609" s="351"/>
      <c r="G609" s="351"/>
      <c r="H609" s="351"/>
      <c r="I609" s="351"/>
      <c r="J609" s="351"/>
      <c r="K609" s="351"/>
    </row>
    <row r="610" spans="1:11" ht="15.75" x14ac:dyDescent="0.25">
      <c r="A610" s="551" t="s">
        <v>595</v>
      </c>
      <c r="B610" s="552"/>
      <c r="C610" s="19"/>
      <c r="D610" s="19"/>
      <c r="E610" s="19"/>
    </row>
    <row r="611" spans="1:11" x14ac:dyDescent="0.2">
      <c r="A611" s="4" t="s">
        <v>596</v>
      </c>
      <c r="B611" s="4"/>
      <c r="C611" s="352" t="s">
        <v>588</v>
      </c>
      <c r="D611" s="352" t="s">
        <v>380</v>
      </c>
      <c r="E611" s="89"/>
    </row>
    <row r="612" spans="1:11" x14ac:dyDescent="0.2">
      <c r="A612" s="353" t="s">
        <v>355</v>
      </c>
      <c r="B612" s="88"/>
      <c r="C612" s="88"/>
      <c r="D612" s="88"/>
      <c r="E612" s="153" t="s">
        <v>597</v>
      </c>
    </row>
    <row r="613" spans="1:11" x14ac:dyDescent="0.2">
      <c r="A613" s="22" t="s">
        <v>337</v>
      </c>
      <c r="B613" s="354" t="s">
        <v>357</v>
      </c>
      <c r="C613" s="355">
        <v>63740</v>
      </c>
      <c r="D613" s="355">
        <v>657</v>
      </c>
      <c r="E613" s="356">
        <v>54.75</v>
      </c>
    </row>
    <row r="614" spans="1:11" x14ac:dyDescent="0.2">
      <c r="A614" s="27" t="s">
        <v>338</v>
      </c>
      <c r="B614" s="354" t="s">
        <v>380</v>
      </c>
      <c r="C614" s="219">
        <v>164260</v>
      </c>
      <c r="D614" s="219">
        <v>1693</v>
      </c>
      <c r="E614" s="219">
        <v>141.08333333333334</v>
      </c>
    </row>
    <row r="615" spans="1:11" x14ac:dyDescent="0.2">
      <c r="A615" s="27" t="s">
        <v>339</v>
      </c>
      <c r="B615" s="354" t="s">
        <v>357</v>
      </c>
      <c r="C615" s="219">
        <v>238907</v>
      </c>
      <c r="D615" s="219">
        <v>2463</v>
      </c>
      <c r="E615" s="219">
        <v>205.25</v>
      </c>
    </row>
    <row r="616" spans="1:11" x14ac:dyDescent="0.2">
      <c r="A616" s="27" t="s">
        <v>230</v>
      </c>
      <c r="B616" s="354" t="s">
        <v>357</v>
      </c>
      <c r="C616" s="219">
        <v>105021</v>
      </c>
      <c r="D616" s="357">
        <v>1083</v>
      </c>
      <c r="E616" s="357">
        <v>90.25</v>
      </c>
    </row>
    <row r="617" spans="1:11" x14ac:dyDescent="0.2">
      <c r="A617" s="542" t="s">
        <v>598</v>
      </c>
      <c r="B617" s="543"/>
      <c r="C617" s="222">
        <v>571928</v>
      </c>
      <c r="D617" s="222">
        <v>5896</v>
      </c>
      <c r="E617" s="222">
        <v>491.33333333333331</v>
      </c>
    </row>
    <row r="619" spans="1:11" x14ac:dyDescent="0.2">
      <c r="A619" s="353" t="s">
        <v>373</v>
      </c>
      <c r="B619" s="88"/>
      <c r="C619" s="358"/>
      <c r="D619" s="358"/>
      <c r="E619" s="358"/>
    </row>
    <row r="620" spans="1:11" x14ac:dyDescent="0.2">
      <c r="A620" s="359" t="s">
        <v>342</v>
      </c>
      <c r="B620" s="354" t="s">
        <v>357</v>
      </c>
      <c r="C620" s="215">
        <v>150350</v>
      </c>
      <c r="D620" s="215">
        <v>1550</v>
      </c>
      <c r="E620" s="215">
        <v>129.16666666666666</v>
      </c>
    </row>
    <row r="621" spans="1:11" x14ac:dyDescent="0.2">
      <c r="A621" s="360" t="s">
        <v>343</v>
      </c>
      <c r="B621" s="354" t="s">
        <v>380</v>
      </c>
      <c r="C621" s="219">
        <v>218086</v>
      </c>
      <c r="D621" s="219">
        <v>2248</v>
      </c>
      <c r="E621" s="219">
        <v>187.33333333333334</v>
      </c>
    </row>
    <row r="622" spans="1:11" x14ac:dyDescent="0.2">
      <c r="A622" s="360" t="s">
        <v>344</v>
      </c>
      <c r="B622" s="354" t="s">
        <v>380</v>
      </c>
      <c r="C622" s="219">
        <v>59700</v>
      </c>
      <c r="D622" s="219">
        <v>615</v>
      </c>
      <c r="E622" s="219">
        <v>51.25</v>
      </c>
    </row>
    <row r="623" spans="1:11" x14ac:dyDescent="0.2">
      <c r="A623" s="360" t="s">
        <v>345</v>
      </c>
      <c r="B623" s="354" t="s">
        <v>357</v>
      </c>
      <c r="C623" s="219">
        <v>0</v>
      </c>
      <c r="D623" s="219">
        <v>0</v>
      </c>
      <c r="E623" s="219">
        <v>0</v>
      </c>
    </row>
    <row r="624" spans="1:11" x14ac:dyDescent="0.2">
      <c r="A624" s="360" t="s">
        <v>230</v>
      </c>
      <c r="B624" s="354" t="s">
        <v>357</v>
      </c>
      <c r="C624" s="219">
        <v>0</v>
      </c>
      <c r="D624" s="219">
        <v>0</v>
      </c>
      <c r="E624" s="219">
        <v>0</v>
      </c>
    </row>
    <row r="625" spans="1:5" x14ac:dyDescent="0.2">
      <c r="A625" s="360" t="s">
        <v>346</v>
      </c>
      <c r="B625" s="354" t="s">
        <v>357</v>
      </c>
      <c r="C625" s="219">
        <v>0</v>
      </c>
      <c r="D625" s="219">
        <v>0</v>
      </c>
      <c r="E625" s="219">
        <v>0</v>
      </c>
    </row>
    <row r="626" spans="1:5" x14ac:dyDescent="0.2">
      <c r="A626" s="542" t="s">
        <v>599</v>
      </c>
      <c r="B626" s="542"/>
      <c r="C626" s="222">
        <v>428136</v>
      </c>
      <c r="D626" s="222">
        <v>4414</v>
      </c>
      <c r="E626" s="222">
        <v>367.83333333333331</v>
      </c>
    </row>
    <row r="627" spans="1:5" x14ac:dyDescent="0.2">
      <c r="C627" s="128"/>
      <c r="D627" s="128"/>
      <c r="E627" s="128"/>
    </row>
    <row r="628" spans="1:5" x14ac:dyDescent="0.2">
      <c r="A628" s="4" t="s">
        <v>94</v>
      </c>
      <c r="B628" s="38" t="s">
        <v>349</v>
      </c>
      <c r="C628" s="26">
        <v>118819</v>
      </c>
      <c r="D628" s="26">
        <v>1225</v>
      </c>
      <c r="E628" s="26">
        <v>102.08333333333333</v>
      </c>
    </row>
    <row r="629" spans="1:5" x14ac:dyDescent="0.2">
      <c r="A629" s="4" t="s">
        <v>600</v>
      </c>
      <c r="B629" s="4"/>
      <c r="C629" s="222">
        <v>1118883</v>
      </c>
      <c r="D629" s="222">
        <v>11535</v>
      </c>
      <c r="E629" s="222">
        <v>961.25</v>
      </c>
    </row>
    <row r="630" spans="1:5" x14ac:dyDescent="0.2">
      <c r="C630" s="128"/>
      <c r="D630" s="128"/>
      <c r="E630" s="128"/>
    </row>
    <row r="631" spans="1:5" x14ac:dyDescent="0.2">
      <c r="A631" s="4" t="s">
        <v>601</v>
      </c>
      <c r="B631" s="38" t="s">
        <v>69</v>
      </c>
      <c r="C631" s="26">
        <v>38800</v>
      </c>
      <c r="D631" s="26">
        <v>400</v>
      </c>
      <c r="E631" s="26">
        <v>33.333333333333336</v>
      </c>
    </row>
    <row r="632" spans="1:5" x14ac:dyDescent="0.2">
      <c r="A632" s="4"/>
      <c r="B632" s="4"/>
      <c r="C632" s="135"/>
      <c r="D632" s="135"/>
      <c r="E632" s="4"/>
    </row>
    <row r="633" spans="1:5" ht="15.75" thickBot="1" x14ac:dyDescent="0.25">
      <c r="A633" s="4" t="s">
        <v>602</v>
      </c>
      <c r="B633" s="4"/>
      <c r="C633" s="87">
        <v>1157683</v>
      </c>
      <c r="D633" s="87">
        <v>11935</v>
      </c>
      <c r="E633" s="87">
        <v>994.58333333333337</v>
      </c>
    </row>
    <row r="634" spans="1:5" ht="15.75" thickTop="1" x14ac:dyDescent="0.2"/>
    <row r="635" spans="1:5" x14ac:dyDescent="0.2">
      <c r="A635" s="4" t="s">
        <v>89</v>
      </c>
      <c r="C635" s="38" t="s">
        <v>118</v>
      </c>
      <c r="E635" s="4"/>
    </row>
    <row r="636" spans="1:5" x14ac:dyDescent="0.2">
      <c r="E636" s="4"/>
    </row>
    <row r="637" spans="1:5" x14ac:dyDescent="0.2">
      <c r="A637" s="361" t="s">
        <v>94</v>
      </c>
      <c r="B637" s="4"/>
      <c r="C637" s="4"/>
      <c r="D637" s="4"/>
      <c r="E637" s="4"/>
    </row>
    <row r="638" spans="1:5" x14ac:dyDescent="0.2">
      <c r="A638" s="47" t="s">
        <v>603</v>
      </c>
      <c r="C638" s="362">
        <v>6.5000000000000002E-2</v>
      </c>
      <c r="D638" s="363">
        <v>198819</v>
      </c>
      <c r="E638" s="4"/>
    </row>
    <row r="639" spans="1:5" x14ac:dyDescent="0.2">
      <c r="A639" s="47" t="s">
        <v>604</v>
      </c>
      <c r="C639" s="364">
        <v>0</v>
      </c>
      <c r="D639" s="363">
        <v>0</v>
      </c>
      <c r="E639" s="4"/>
    </row>
    <row r="640" spans="1:5" x14ac:dyDescent="0.2">
      <c r="A640" s="47" t="s">
        <v>605</v>
      </c>
      <c r="C640" s="364">
        <v>0</v>
      </c>
      <c r="D640" s="363">
        <v>0</v>
      </c>
      <c r="E640" s="4"/>
    </row>
    <row r="641" spans="1:6" x14ac:dyDescent="0.2">
      <c r="A641" s="47" t="s">
        <v>606</v>
      </c>
      <c r="D641" s="42">
        <v>1.03</v>
      </c>
      <c r="E641" s="47"/>
    </row>
    <row r="642" spans="1:6" x14ac:dyDescent="0.2">
      <c r="A642" s="47" t="s">
        <v>607</v>
      </c>
      <c r="C642" s="355">
        <v>118819</v>
      </c>
      <c r="D642" s="42"/>
      <c r="E642" s="47"/>
    </row>
    <row r="644" spans="1:6" x14ac:dyDescent="0.2">
      <c r="A644" s="361" t="s">
        <v>601</v>
      </c>
      <c r="D644" s="47"/>
      <c r="E644" s="4"/>
    </row>
    <row r="645" spans="1:6" x14ac:dyDescent="0.2">
      <c r="A645" s="47"/>
      <c r="B645" s="4" t="s">
        <v>438</v>
      </c>
      <c r="C645" s="4" t="s">
        <v>380</v>
      </c>
      <c r="D645" s="47" t="s">
        <v>358</v>
      </c>
      <c r="E645" s="47" t="s">
        <v>594</v>
      </c>
    </row>
    <row r="646" spans="1:6" x14ac:dyDescent="0.2">
      <c r="A646" s="47" t="s">
        <v>608</v>
      </c>
      <c r="B646" s="233">
        <v>46997</v>
      </c>
      <c r="C646" s="365">
        <v>400</v>
      </c>
      <c r="D646" s="366">
        <v>38800</v>
      </c>
      <c r="E646" s="42">
        <v>1.03</v>
      </c>
    </row>
    <row r="647" spans="1:6" x14ac:dyDescent="0.2">
      <c r="A647" s="47" t="s">
        <v>739</v>
      </c>
      <c r="B647" s="367"/>
      <c r="C647" s="26">
        <v>400</v>
      </c>
      <c r="D647" s="25">
        <v>38800</v>
      </c>
      <c r="E647" s="42">
        <v>1.03</v>
      </c>
    </row>
    <row r="648" spans="1:6" s="132" customFormat="1" x14ac:dyDescent="0.2"/>
    <row r="649" spans="1:6" ht="18.75" thickBot="1" x14ac:dyDescent="0.3">
      <c r="A649" s="317" t="s">
        <v>609</v>
      </c>
      <c r="B649" s="2"/>
      <c r="C649" s="7" t="s">
        <v>69</v>
      </c>
      <c r="D649" s="2"/>
      <c r="E649" s="2"/>
      <c r="F649" s="2"/>
    </row>
    <row r="650" spans="1:6" ht="15.75" thickBot="1" x14ac:dyDescent="0.25">
      <c r="A650" s="318" t="s">
        <v>1135</v>
      </c>
      <c r="B650" s="10"/>
      <c r="C650" s="13" t="s">
        <v>610</v>
      </c>
      <c r="D650" s="10"/>
      <c r="E650" s="10"/>
      <c r="F650" s="10"/>
    </row>
    <row r="651" spans="1:6" ht="15.75" thickBot="1" x14ac:dyDescent="0.25">
      <c r="F651" s="368" t="s">
        <v>611</v>
      </c>
    </row>
    <row r="652" spans="1:6" x14ac:dyDescent="0.2">
      <c r="A652" s="322" t="s">
        <v>612</v>
      </c>
      <c r="D652" s="53"/>
      <c r="E652" s="89" t="s">
        <v>608</v>
      </c>
      <c r="F652" s="89" t="s">
        <v>613</v>
      </c>
    </row>
    <row r="653" spans="1:6" x14ac:dyDescent="0.2">
      <c r="A653" s="303" t="s">
        <v>614</v>
      </c>
      <c r="B653" s="303" t="s">
        <v>316</v>
      </c>
      <c r="C653" s="303" t="s">
        <v>580</v>
      </c>
      <c r="D653" s="153" t="s">
        <v>615</v>
      </c>
      <c r="E653" s="153" t="s">
        <v>512</v>
      </c>
      <c r="F653" s="153" t="s">
        <v>512</v>
      </c>
    </row>
    <row r="654" spans="1:6" x14ac:dyDescent="0.2">
      <c r="A654" s="98" t="s">
        <v>1165</v>
      </c>
      <c r="B654" s="219">
        <v>23280</v>
      </c>
      <c r="C654" s="112" t="s">
        <v>616</v>
      </c>
      <c r="D654" s="219">
        <v>23280</v>
      </c>
      <c r="E654" s="219">
        <v>0</v>
      </c>
      <c r="F654" s="219">
        <v>0</v>
      </c>
    </row>
    <row r="655" spans="1:6" x14ac:dyDescent="0.2">
      <c r="A655" s="98" t="s">
        <v>1166</v>
      </c>
      <c r="B655" s="219">
        <v>20000</v>
      </c>
      <c r="C655" s="112" t="s">
        <v>616</v>
      </c>
      <c r="D655" s="219">
        <v>20000</v>
      </c>
      <c r="E655" s="219">
        <v>0</v>
      </c>
      <c r="F655" s="219">
        <v>0</v>
      </c>
    </row>
    <row r="656" spans="1:6" x14ac:dyDescent="0.2">
      <c r="A656" s="98" t="s">
        <v>1167</v>
      </c>
      <c r="B656" s="219">
        <v>2400</v>
      </c>
      <c r="C656" s="112" t="s">
        <v>616</v>
      </c>
      <c r="D656" s="219">
        <v>2400</v>
      </c>
      <c r="E656" s="219">
        <v>0</v>
      </c>
      <c r="F656" s="219">
        <v>0</v>
      </c>
    </row>
    <row r="657" spans="1:6" x14ac:dyDescent="0.2">
      <c r="A657" s="98" t="s">
        <v>1168</v>
      </c>
      <c r="B657" s="219">
        <v>600</v>
      </c>
      <c r="C657" s="112" t="s">
        <v>616</v>
      </c>
      <c r="D657" s="219">
        <v>600</v>
      </c>
      <c r="E657" s="219">
        <v>0</v>
      </c>
      <c r="F657" s="219">
        <v>0</v>
      </c>
    </row>
    <row r="658" spans="1:6" x14ac:dyDescent="0.2">
      <c r="A658" s="98">
        <v>0</v>
      </c>
      <c r="B658" s="219">
        <v>0</v>
      </c>
      <c r="C658" s="112">
        <v>0</v>
      </c>
      <c r="D658" s="219">
        <v>0</v>
      </c>
      <c r="E658" s="219">
        <v>0</v>
      </c>
      <c r="F658" s="219">
        <v>0</v>
      </c>
    </row>
    <row r="659" spans="1:6" x14ac:dyDescent="0.2">
      <c r="A659" s="98" t="s">
        <v>1169</v>
      </c>
      <c r="B659" s="219">
        <v>152220</v>
      </c>
      <c r="C659" s="112" t="s">
        <v>620</v>
      </c>
      <c r="D659" s="219">
        <v>152220</v>
      </c>
      <c r="E659" s="219">
        <v>0</v>
      </c>
      <c r="F659" s="219">
        <v>0</v>
      </c>
    </row>
    <row r="660" spans="1:6" x14ac:dyDescent="0.2">
      <c r="A660" s="98" t="s">
        <v>659</v>
      </c>
      <c r="B660" s="219">
        <v>77013</v>
      </c>
      <c r="C660" s="112" t="s">
        <v>620</v>
      </c>
      <c r="D660" s="219">
        <v>77013</v>
      </c>
      <c r="E660" s="219">
        <v>0</v>
      </c>
      <c r="F660" s="219">
        <v>0</v>
      </c>
    </row>
    <row r="661" spans="1:6" x14ac:dyDescent="0.2">
      <c r="A661" s="98" t="s">
        <v>1170</v>
      </c>
      <c r="B661" s="219">
        <v>59700</v>
      </c>
      <c r="C661" s="112" t="s">
        <v>621</v>
      </c>
      <c r="D661" s="219">
        <v>59700</v>
      </c>
      <c r="E661" s="219">
        <v>0</v>
      </c>
      <c r="F661" s="219">
        <v>0</v>
      </c>
    </row>
    <row r="662" spans="1:6" x14ac:dyDescent="0.2">
      <c r="A662" s="98" t="s">
        <v>1171</v>
      </c>
      <c r="B662" s="219">
        <v>17460</v>
      </c>
      <c r="C662" s="112" t="s">
        <v>616</v>
      </c>
      <c r="D662" s="219">
        <v>17460</v>
      </c>
      <c r="E662" s="219">
        <v>0</v>
      </c>
      <c r="F662" s="219">
        <v>0</v>
      </c>
    </row>
    <row r="663" spans="1:6" x14ac:dyDescent="0.2">
      <c r="A663" s="98" t="s">
        <v>1172</v>
      </c>
      <c r="B663" s="219">
        <v>-11147</v>
      </c>
      <c r="C663" s="112" t="s">
        <v>620</v>
      </c>
      <c r="D663" s="219">
        <v>-11147</v>
      </c>
      <c r="E663" s="219">
        <v>0</v>
      </c>
      <c r="F663" s="219">
        <v>0</v>
      </c>
    </row>
    <row r="664" spans="1:6" x14ac:dyDescent="0.2">
      <c r="A664" s="98" t="s">
        <v>1130</v>
      </c>
      <c r="B664" s="219">
        <v>27860</v>
      </c>
      <c r="C664" s="112" t="s">
        <v>619</v>
      </c>
      <c r="D664" s="219">
        <v>27860</v>
      </c>
      <c r="E664" s="219">
        <v>0</v>
      </c>
      <c r="F664" s="219">
        <v>0</v>
      </c>
    </row>
    <row r="665" spans="1:6" x14ac:dyDescent="0.2">
      <c r="A665" s="98" t="s">
        <v>1173</v>
      </c>
      <c r="B665" s="219">
        <v>20000</v>
      </c>
      <c r="C665" s="112" t="s">
        <v>619</v>
      </c>
      <c r="D665" s="219">
        <v>20000</v>
      </c>
      <c r="E665" s="219">
        <v>0</v>
      </c>
      <c r="F665" s="219">
        <v>0</v>
      </c>
    </row>
    <row r="666" spans="1:6" x14ac:dyDescent="0.2">
      <c r="A666" s="98" t="s">
        <v>1174</v>
      </c>
      <c r="B666" s="219">
        <v>116400</v>
      </c>
      <c r="C666" s="112" t="s">
        <v>619</v>
      </c>
      <c r="D666" s="219">
        <v>116400</v>
      </c>
      <c r="E666" s="219">
        <v>0</v>
      </c>
      <c r="F666" s="219">
        <v>0</v>
      </c>
    </row>
    <row r="667" spans="1:6" x14ac:dyDescent="0.2">
      <c r="A667" s="98">
        <v>0</v>
      </c>
      <c r="B667" s="219">
        <v>0</v>
      </c>
      <c r="C667" s="112">
        <v>0</v>
      </c>
      <c r="D667" s="219">
        <v>0</v>
      </c>
      <c r="E667" s="219">
        <v>0</v>
      </c>
      <c r="F667" s="219">
        <v>0</v>
      </c>
    </row>
    <row r="668" spans="1:6" x14ac:dyDescent="0.2">
      <c r="A668" s="98" t="s">
        <v>1129</v>
      </c>
      <c r="B668" s="219">
        <v>158907</v>
      </c>
      <c r="C668" s="112" t="s">
        <v>617</v>
      </c>
      <c r="D668" s="219">
        <v>158907</v>
      </c>
      <c r="E668" s="219">
        <v>0</v>
      </c>
      <c r="F668" s="219">
        <v>0</v>
      </c>
    </row>
    <row r="669" spans="1:6" x14ac:dyDescent="0.2">
      <c r="A669" s="98">
        <v>0</v>
      </c>
      <c r="B669" s="219">
        <v>0</v>
      </c>
      <c r="C669" s="112">
        <v>0</v>
      </c>
      <c r="D669" s="219">
        <v>0</v>
      </c>
      <c r="E669" s="219">
        <v>0</v>
      </c>
      <c r="F669" s="219">
        <v>0</v>
      </c>
    </row>
    <row r="670" spans="1:6" x14ac:dyDescent="0.2">
      <c r="A670" s="98" t="s">
        <v>1131</v>
      </c>
      <c r="B670" s="219">
        <v>150350</v>
      </c>
      <c r="C670" s="112" t="s">
        <v>618</v>
      </c>
      <c r="D670" s="219">
        <v>150350</v>
      </c>
      <c r="E670" s="219">
        <v>0</v>
      </c>
      <c r="F670" s="219">
        <v>0</v>
      </c>
    </row>
    <row r="671" spans="1:6" x14ac:dyDescent="0.2">
      <c r="A671" s="98">
        <v>0</v>
      </c>
      <c r="B671" s="219">
        <v>0</v>
      </c>
      <c r="C671" s="112">
        <v>0</v>
      </c>
      <c r="D671" s="219">
        <v>0</v>
      </c>
      <c r="E671" s="219">
        <v>0</v>
      </c>
      <c r="F671" s="219">
        <v>0</v>
      </c>
    </row>
    <row r="672" spans="1:6" x14ac:dyDescent="0.2">
      <c r="A672" s="98" t="s">
        <v>1175</v>
      </c>
      <c r="B672" s="219">
        <v>105021</v>
      </c>
      <c r="C672" s="112" t="s">
        <v>1176</v>
      </c>
      <c r="D672" s="219">
        <v>105021</v>
      </c>
      <c r="E672" s="219">
        <v>0</v>
      </c>
      <c r="F672" s="219">
        <v>0</v>
      </c>
    </row>
    <row r="673" spans="1:6" x14ac:dyDescent="0.2">
      <c r="A673" s="98">
        <v>0</v>
      </c>
      <c r="B673" s="219">
        <v>0</v>
      </c>
      <c r="C673" s="112">
        <v>0</v>
      </c>
      <c r="D673" s="219">
        <v>0</v>
      </c>
      <c r="E673" s="219">
        <v>0</v>
      </c>
      <c r="F673" s="219">
        <v>0</v>
      </c>
    </row>
    <row r="674" spans="1:6" x14ac:dyDescent="0.2">
      <c r="A674" s="98" t="s">
        <v>1177</v>
      </c>
      <c r="B674" s="219">
        <v>80000</v>
      </c>
      <c r="C674" s="112" t="s">
        <v>617</v>
      </c>
      <c r="D674" s="219">
        <v>0</v>
      </c>
      <c r="E674" s="219">
        <v>80000</v>
      </c>
      <c r="F674" s="219">
        <v>0</v>
      </c>
    </row>
    <row r="675" spans="1:6" x14ac:dyDescent="0.2">
      <c r="A675" s="98">
        <v>0</v>
      </c>
      <c r="B675" s="219">
        <v>0</v>
      </c>
      <c r="C675" s="112">
        <v>0</v>
      </c>
      <c r="D675" s="219">
        <v>0</v>
      </c>
      <c r="E675" s="219">
        <v>0</v>
      </c>
      <c r="F675" s="219">
        <v>0</v>
      </c>
    </row>
    <row r="676" spans="1:6" x14ac:dyDescent="0.2">
      <c r="A676" s="98">
        <v>0</v>
      </c>
      <c r="B676" s="219">
        <v>0</v>
      </c>
      <c r="C676" s="112">
        <v>0</v>
      </c>
      <c r="D676" s="219">
        <v>0</v>
      </c>
      <c r="E676" s="219">
        <v>0</v>
      </c>
      <c r="F676" s="219">
        <v>0</v>
      </c>
    </row>
    <row r="677" spans="1:6" x14ac:dyDescent="0.2">
      <c r="A677" s="98">
        <v>0</v>
      </c>
      <c r="B677" s="219">
        <v>0</v>
      </c>
      <c r="C677" s="112">
        <v>0</v>
      </c>
      <c r="D677" s="219">
        <v>0</v>
      </c>
      <c r="E677" s="219">
        <v>0</v>
      </c>
      <c r="F677" s="219">
        <v>0</v>
      </c>
    </row>
    <row r="678" spans="1:6" x14ac:dyDescent="0.2">
      <c r="A678" s="98">
        <v>0</v>
      </c>
      <c r="B678" s="219">
        <v>0</v>
      </c>
      <c r="C678" s="112">
        <v>0</v>
      </c>
      <c r="D678" s="219">
        <v>0</v>
      </c>
      <c r="E678" s="219">
        <v>0</v>
      </c>
      <c r="F678" s="219">
        <v>0</v>
      </c>
    </row>
    <row r="679" spans="1:6" x14ac:dyDescent="0.2">
      <c r="A679" s="98">
        <v>0</v>
      </c>
      <c r="B679" s="219">
        <v>0</v>
      </c>
      <c r="C679" s="112">
        <v>0</v>
      </c>
      <c r="D679" s="219">
        <v>0</v>
      </c>
      <c r="E679" s="219">
        <v>0</v>
      </c>
      <c r="F679" s="219">
        <v>0</v>
      </c>
    </row>
    <row r="680" spans="1:6" x14ac:dyDescent="0.2">
      <c r="A680" s="98">
        <v>0</v>
      </c>
      <c r="B680" s="219">
        <v>0</v>
      </c>
      <c r="C680" s="112">
        <v>0</v>
      </c>
      <c r="D680" s="219">
        <v>0</v>
      </c>
      <c r="E680" s="219">
        <v>0</v>
      </c>
      <c r="F680" s="219">
        <v>0</v>
      </c>
    </row>
    <row r="681" spans="1:6" x14ac:dyDescent="0.2">
      <c r="A681" s="98">
        <v>0</v>
      </c>
      <c r="B681" s="219">
        <v>0</v>
      </c>
      <c r="C681" s="112">
        <v>0</v>
      </c>
      <c r="D681" s="219">
        <v>0</v>
      </c>
      <c r="E681" s="219">
        <v>0</v>
      </c>
      <c r="F681" s="219">
        <v>0</v>
      </c>
    </row>
    <row r="682" spans="1:6" x14ac:dyDescent="0.2">
      <c r="A682" s="98">
        <v>0</v>
      </c>
      <c r="B682" s="219">
        <v>0</v>
      </c>
      <c r="C682" s="112">
        <v>0</v>
      </c>
      <c r="D682" s="219">
        <v>0</v>
      </c>
      <c r="E682" s="219">
        <v>0</v>
      </c>
      <c r="F682" s="219">
        <v>0</v>
      </c>
    </row>
    <row r="683" spans="1:6" x14ac:dyDescent="0.2">
      <c r="A683" s="98">
        <v>0</v>
      </c>
      <c r="B683" s="219">
        <v>0</v>
      </c>
      <c r="C683" s="112">
        <v>0</v>
      </c>
      <c r="D683" s="219">
        <v>0</v>
      </c>
      <c r="E683" s="219">
        <v>0</v>
      </c>
      <c r="F683" s="219">
        <v>0</v>
      </c>
    </row>
    <row r="684" spans="1:6" x14ac:dyDescent="0.2">
      <c r="A684" s="98">
        <v>0</v>
      </c>
      <c r="B684" s="219">
        <v>0</v>
      </c>
      <c r="C684" s="112">
        <v>0</v>
      </c>
      <c r="D684" s="219">
        <v>0</v>
      </c>
      <c r="E684" s="219">
        <v>0</v>
      </c>
      <c r="F684" s="219">
        <v>0</v>
      </c>
    </row>
    <row r="685" spans="1:6" x14ac:dyDescent="0.2">
      <c r="A685" s="98">
        <v>0</v>
      </c>
      <c r="B685" s="219">
        <v>0</v>
      </c>
      <c r="C685" s="112">
        <v>0</v>
      </c>
      <c r="D685" s="219">
        <v>0</v>
      </c>
      <c r="E685" s="219">
        <v>0</v>
      </c>
      <c r="F685" s="219">
        <v>0</v>
      </c>
    </row>
    <row r="686" spans="1:6" x14ac:dyDescent="0.2">
      <c r="A686" s="98">
        <v>0</v>
      </c>
      <c r="B686" s="219">
        <v>0</v>
      </c>
      <c r="C686" s="112">
        <v>0</v>
      </c>
      <c r="D686" s="219">
        <v>0</v>
      </c>
      <c r="E686" s="219">
        <v>0</v>
      </c>
      <c r="F686" s="219">
        <v>0</v>
      </c>
    </row>
    <row r="687" spans="1:6" x14ac:dyDescent="0.2">
      <c r="A687" s="98">
        <v>0</v>
      </c>
      <c r="B687" s="219">
        <v>0</v>
      </c>
      <c r="C687" s="112">
        <v>0</v>
      </c>
      <c r="D687" s="219">
        <v>0</v>
      </c>
      <c r="E687" s="219">
        <v>0</v>
      </c>
      <c r="F687" s="219">
        <v>0</v>
      </c>
    </row>
    <row r="688" spans="1:6" x14ac:dyDescent="0.2">
      <c r="A688" s="98" t="s">
        <v>183</v>
      </c>
      <c r="B688" s="219">
        <v>0</v>
      </c>
      <c r="C688" s="112">
        <v>0</v>
      </c>
      <c r="D688" s="219">
        <v>0</v>
      </c>
      <c r="E688" s="219">
        <v>0</v>
      </c>
      <c r="F688" s="219">
        <v>0</v>
      </c>
    </row>
    <row r="689" spans="1:6" x14ac:dyDescent="0.2">
      <c r="A689" s="98" t="s">
        <v>183</v>
      </c>
      <c r="B689" s="219">
        <v>0</v>
      </c>
      <c r="C689" s="112">
        <v>0</v>
      </c>
      <c r="D689" s="219">
        <v>0</v>
      </c>
      <c r="E689" s="219">
        <v>0</v>
      </c>
      <c r="F689" s="219">
        <v>0</v>
      </c>
    </row>
    <row r="690" spans="1:6" x14ac:dyDescent="0.2">
      <c r="A690" s="98" t="s">
        <v>183</v>
      </c>
      <c r="B690" s="219">
        <v>0</v>
      </c>
      <c r="C690" s="112">
        <v>0</v>
      </c>
      <c r="D690" s="219">
        <v>0</v>
      </c>
      <c r="E690" s="219">
        <v>0</v>
      </c>
      <c r="F690" s="219">
        <v>0</v>
      </c>
    </row>
    <row r="691" spans="1:6" x14ac:dyDescent="0.2">
      <c r="A691" s="98" t="s">
        <v>183</v>
      </c>
      <c r="B691" s="219">
        <v>0</v>
      </c>
      <c r="C691" s="112">
        <v>0</v>
      </c>
      <c r="D691" s="219">
        <v>0</v>
      </c>
      <c r="E691" s="219">
        <v>0</v>
      </c>
      <c r="F691" s="219">
        <v>0</v>
      </c>
    </row>
    <row r="692" spans="1:6" x14ac:dyDescent="0.2">
      <c r="A692" s="98" t="s">
        <v>183</v>
      </c>
      <c r="B692" s="219">
        <v>0</v>
      </c>
      <c r="C692" s="112">
        <v>0</v>
      </c>
      <c r="D692" s="219">
        <v>0</v>
      </c>
      <c r="E692" s="219">
        <v>0</v>
      </c>
      <c r="F692" s="219">
        <v>0</v>
      </c>
    </row>
    <row r="693" spans="1:6" x14ac:dyDescent="0.2">
      <c r="A693" s="98" t="s">
        <v>183</v>
      </c>
      <c r="B693" s="219">
        <v>0</v>
      </c>
      <c r="C693" s="112">
        <v>0</v>
      </c>
      <c r="D693" s="219">
        <v>0</v>
      </c>
      <c r="E693" s="219">
        <v>0</v>
      </c>
      <c r="F693" s="219">
        <v>0</v>
      </c>
    </row>
    <row r="694" spans="1:6" x14ac:dyDescent="0.2">
      <c r="B694" s="128"/>
    </row>
    <row r="695" spans="1:6" ht="15.75" thickBot="1" x14ac:dyDescent="0.25">
      <c r="A695" s="47" t="s">
        <v>176</v>
      </c>
      <c r="B695" s="333">
        <v>1000064</v>
      </c>
      <c r="D695" s="369">
        <v>920064</v>
      </c>
      <c r="E695" s="333">
        <v>80000</v>
      </c>
      <c r="F695" s="333">
        <v>0</v>
      </c>
    </row>
    <row r="696" spans="1:6" ht="15.75" thickTop="1" x14ac:dyDescent="0.2">
      <c r="A696" s="47" t="s">
        <v>218</v>
      </c>
      <c r="B696" s="25">
        <v>0</v>
      </c>
    </row>
    <row r="697" spans="1:6" x14ac:dyDescent="0.2">
      <c r="D697" s="219">
        <v>198138</v>
      </c>
      <c r="E697" s="47" t="s">
        <v>94</v>
      </c>
      <c r="F697" s="47"/>
    </row>
    <row r="698" spans="1:6" x14ac:dyDescent="0.2">
      <c r="D698" s="219">
        <v>38800</v>
      </c>
      <c r="E698" s="47" t="s">
        <v>601</v>
      </c>
      <c r="F698" s="47"/>
    </row>
    <row r="700" spans="1:6" ht="15.75" thickBot="1" x14ac:dyDescent="0.25">
      <c r="D700" s="333">
        <v>1157002</v>
      </c>
    </row>
    <row r="701" spans="1:6" ht="15.75" thickTop="1" x14ac:dyDescent="0.2"/>
    <row r="702" spans="1:6" x14ac:dyDescent="0.2">
      <c r="D702" s="219">
        <v>1157002</v>
      </c>
      <c r="E702" s="370" t="s">
        <v>622</v>
      </c>
      <c r="F702" s="370"/>
    </row>
    <row r="703" spans="1:6" ht="15.75" thickBot="1" x14ac:dyDescent="0.25">
      <c r="D703" s="333">
        <v>0</v>
      </c>
      <c r="E703" s="370" t="s">
        <v>218</v>
      </c>
      <c r="F703" s="370"/>
    </row>
    <row r="704" spans="1:6" s="132" customFormat="1" ht="15.75" thickTop="1" x14ac:dyDescent="0.2"/>
    <row r="705" spans="2:22" ht="18.75" thickBot="1" x14ac:dyDescent="0.3">
      <c r="B705" s="544" t="s">
        <v>623</v>
      </c>
      <c r="C705" s="544"/>
      <c r="D705" s="544"/>
      <c r="E705" s="544"/>
      <c r="F705" s="544"/>
      <c r="G705" s="544"/>
      <c r="H705" s="371"/>
      <c r="I705" s="371"/>
      <c r="J705" s="371"/>
      <c r="K705" s="371"/>
      <c r="L705" s="371"/>
      <c r="M705" s="371"/>
      <c r="N705" s="371"/>
      <c r="O705" s="371"/>
      <c r="P705" s="371"/>
      <c r="Q705" s="371"/>
      <c r="R705" s="371"/>
      <c r="S705" s="371"/>
      <c r="T705" s="371"/>
      <c r="U705" s="371"/>
      <c r="V705" s="371"/>
    </row>
    <row r="706" spans="2:22" ht="15" customHeight="1" x14ac:dyDescent="0.25">
      <c r="B706" s="545" t="s">
        <v>1135</v>
      </c>
      <c r="C706" s="545"/>
      <c r="D706" s="545"/>
      <c r="E706" s="545"/>
      <c r="F706" s="545"/>
      <c r="G706" s="545"/>
      <c r="H706" s="372"/>
      <c r="I706" s="372"/>
      <c r="J706" s="372"/>
      <c r="K706" s="372"/>
      <c r="L706" s="372"/>
      <c r="M706" s="372"/>
      <c r="N706" s="372"/>
      <c r="O706" s="372"/>
      <c r="P706" s="372"/>
      <c r="Q706" s="372"/>
      <c r="R706" s="372"/>
      <c r="S706" s="13" t="s">
        <v>71</v>
      </c>
      <c r="T706" s="14">
        <v>46210.286583449073</v>
      </c>
      <c r="U706" s="15">
        <v>46210.286583449073</v>
      </c>
      <c r="V706" s="13" t="s">
        <v>624</v>
      </c>
    </row>
    <row r="707" spans="2:22" ht="15.75" thickBot="1" x14ac:dyDescent="0.25">
      <c r="B707" s="4"/>
      <c r="C707" s="4"/>
      <c r="D707" s="4"/>
      <c r="E707" s="4"/>
      <c r="F707" s="4"/>
      <c r="G707" s="4"/>
      <c r="H707" s="4"/>
      <c r="I707" s="4"/>
      <c r="J707" s="4"/>
      <c r="K707" s="4"/>
      <c r="L707" s="4"/>
      <c r="M707" s="4"/>
      <c r="N707" s="4"/>
      <c r="O707" s="4"/>
      <c r="P707" s="4"/>
      <c r="Q707" s="4"/>
      <c r="R707" s="4"/>
      <c r="S707" s="4"/>
      <c r="T707" s="4"/>
      <c r="U707" s="4"/>
      <c r="V707" s="4"/>
    </row>
    <row r="708" spans="2:22" x14ac:dyDescent="0.2">
      <c r="B708" s="373" t="s">
        <v>625</v>
      </c>
      <c r="C708" s="88"/>
      <c r="D708" s="374">
        <v>2026</v>
      </c>
      <c r="E708" s="375">
        <v>2027</v>
      </c>
      <c r="F708" s="375">
        <v>2028</v>
      </c>
      <c r="G708" s="375">
        <v>2029</v>
      </c>
      <c r="H708" s="375">
        <v>2030</v>
      </c>
      <c r="I708" s="375">
        <v>2031</v>
      </c>
      <c r="J708" s="375">
        <v>2032</v>
      </c>
      <c r="K708" s="375">
        <v>2033</v>
      </c>
      <c r="L708" s="375">
        <v>2034</v>
      </c>
      <c r="M708" s="375">
        <v>2035</v>
      </c>
      <c r="N708" s="375">
        <v>2036</v>
      </c>
      <c r="O708" s="375">
        <v>2037</v>
      </c>
      <c r="P708" s="375">
        <v>2038</v>
      </c>
      <c r="Q708" s="375">
        <v>2039</v>
      </c>
      <c r="R708" s="375">
        <v>2040</v>
      </c>
      <c r="S708" s="375">
        <v>2041</v>
      </c>
      <c r="T708" s="375">
        <v>2042</v>
      </c>
      <c r="U708" s="375">
        <v>2043</v>
      </c>
      <c r="V708" s="376">
        <v>2044</v>
      </c>
    </row>
    <row r="709" spans="2:22" x14ac:dyDescent="0.2">
      <c r="B709" s="226" t="s">
        <v>326</v>
      </c>
      <c r="C709" s="4"/>
      <c r="D709" s="180"/>
      <c r="E709" s="4"/>
      <c r="F709" s="4"/>
      <c r="G709" s="4"/>
      <c r="H709" s="4"/>
      <c r="I709" s="4"/>
      <c r="J709" s="4"/>
      <c r="K709" s="4"/>
      <c r="L709" s="4"/>
      <c r="M709" s="4"/>
      <c r="N709" s="4"/>
      <c r="O709" s="4"/>
      <c r="P709" s="4"/>
      <c r="Q709" s="4"/>
      <c r="R709" s="4"/>
      <c r="S709" s="4"/>
      <c r="T709" s="4"/>
      <c r="U709" s="4"/>
      <c r="V709" s="206"/>
    </row>
    <row r="710" spans="2:22" x14ac:dyDescent="0.2">
      <c r="B710" s="4" t="s">
        <v>327</v>
      </c>
      <c r="C710" s="42"/>
      <c r="D710" s="377">
        <v>1.02</v>
      </c>
      <c r="E710" s="42">
        <v>1.02</v>
      </c>
      <c r="F710" s="42">
        <v>1.02</v>
      </c>
      <c r="G710" s="42">
        <v>1.02</v>
      </c>
      <c r="H710" s="42">
        <v>1.02</v>
      </c>
      <c r="I710" s="42">
        <v>1.02</v>
      </c>
      <c r="J710" s="42">
        <v>1.02</v>
      </c>
      <c r="K710" s="42">
        <v>1.02</v>
      </c>
      <c r="L710" s="42">
        <v>1.02</v>
      </c>
      <c r="M710" s="42">
        <v>1.02</v>
      </c>
      <c r="N710" s="42">
        <v>1.02</v>
      </c>
      <c r="O710" s="42">
        <v>1.02</v>
      </c>
      <c r="P710" s="42">
        <v>1.02</v>
      </c>
      <c r="Q710" s="42">
        <v>1.02</v>
      </c>
      <c r="R710" s="42">
        <v>1.02</v>
      </c>
      <c r="S710" s="42">
        <v>1.02</v>
      </c>
      <c r="T710" s="42">
        <v>1.02</v>
      </c>
      <c r="U710" s="42">
        <v>1.02</v>
      </c>
      <c r="V710" s="378">
        <v>1.02</v>
      </c>
    </row>
    <row r="711" spans="2:22" x14ac:dyDescent="0.2">
      <c r="B711" s="4" t="s">
        <v>328</v>
      </c>
      <c r="C711" s="42"/>
      <c r="D711" s="377">
        <v>1.02</v>
      </c>
      <c r="E711" s="42">
        <v>1.02</v>
      </c>
      <c r="F711" s="42">
        <v>1.02</v>
      </c>
      <c r="G711" s="42">
        <v>1.02</v>
      </c>
      <c r="H711" s="42">
        <v>1.02</v>
      </c>
      <c r="I711" s="42">
        <v>1.02</v>
      </c>
      <c r="J711" s="42">
        <v>1.02</v>
      </c>
      <c r="K711" s="42">
        <v>1.02</v>
      </c>
      <c r="L711" s="42">
        <v>1.02</v>
      </c>
      <c r="M711" s="42">
        <v>1.02</v>
      </c>
      <c r="N711" s="42">
        <v>1.02</v>
      </c>
      <c r="O711" s="42">
        <v>1.02</v>
      </c>
      <c r="P711" s="42">
        <v>1.02</v>
      </c>
      <c r="Q711" s="42">
        <v>1.02</v>
      </c>
      <c r="R711" s="42">
        <v>1.02</v>
      </c>
      <c r="S711" s="42">
        <v>1.02</v>
      </c>
      <c r="T711" s="42">
        <v>1.02</v>
      </c>
      <c r="U711" s="42">
        <v>1.02</v>
      </c>
      <c r="V711" s="378">
        <v>1.02</v>
      </c>
    </row>
    <row r="712" spans="2:22" x14ac:dyDescent="0.2">
      <c r="B712" s="4" t="s">
        <v>329</v>
      </c>
      <c r="C712" s="42"/>
      <c r="D712" s="377">
        <v>1.02</v>
      </c>
      <c r="E712" s="42">
        <v>1.02</v>
      </c>
      <c r="F712" s="42">
        <v>1.02</v>
      </c>
      <c r="G712" s="42">
        <v>1.02</v>
      </c>
      <c r="H712" s="42">
        <v>1.02</v>
      </c>
      <c r="I712" s="42">
        <v>1.02</v>
      </c>
      <c r="J712" s="42">
        <v>1.02</v>
      </c>
      <c r="K712" s="42">
        <v>1.02</v>
      </c>
      <c r="L712" s="42">
        <v>1.02</v>
      </c>
      <c r="M712" s="42">
        <v>1.02</v>
      </c>
      <c r="N712" s="42">
        <v>1.02</v>
      </c>
      <c r="O712" s="42">
        <v>1.02</v>
      </c>
      <c r="P712" s="42">
        <v>1.02</v>
      </c>
      <c r="Q712" s="42">
        <v>1.02</v>
      </c>
      <c r="R712" s="42">
        <v>1.02</v>
      </c>
      <c r="S712" s="42">
        <v>1.02</v>
      </c>
      <c r="T712" s="42">
        <v>1.02</v>
      </c>
      <c r="U712" s="42">
        <v>1.02</v>
      </c>
      <c r="V712" s="378">
        <v>1.02</v>
      </c>
    </row>
    <row r="713" spans="2:22" x14ac:dyDescent="0.2">
      <c r="B713" s="4" t="s">
        <v>626</v>
      </c>
      <c r="C713" s="47"/>
      <c r="D713" s="379" t="s">
        <v>405</v>
      </c>
      <c r="E713" s="305" t="s">
        <v>405</v>
      </c>
      <c r="F713" s="305" t="s">
        <v>405</v>
      </c>
      <c r="G713" s="305">
        <v>1.0199974850148803</v>
      </c>
      <c r="H713" s="305">
        <v>1.0200015780337699</v>
      </c>
      <c r="I713" s="305">
        <v>1.0200038677238445</v>
      </c>
      <c r="J713" s="305">
        <v>1.0199994865174626</v>
      </c>
      <c r="K713" s="305">
        <v>1.0199997547467792</v>
      </c>
      <c r="L713" s="305">
        <v>1.0199999114152241</v>
      </c>
      <c r="M713" s="305">
        <v>1.0199998138975133</v>
      </c>
      <c r="N713" s="305">
        <v>1.0199999391821828</v>
      </c>
      <c r="O713" s="305">
        <v>1.0200001192506289</v>
      </c>
      <c r="P713" s="305">
        <v>1.0200001987510252</v>
      </c>
      <c r="Q713" s="305">
        <v>1.0200000343859839</v>
      </c>
      <c r="R713" s="305">
        <v>1.0200000561862461</v>
      </c>
      <c r="S713" s="305">
        <v>1.0200000991521936</v>
      </c>
      <c r="T713" s="305">
        <v>1.0200000108008915</v>
      </c>
      <c r="U713" s="305">
        <v>1.0200001800148566</v>
      </c>
      <c r="V713" s="380">
        <v>1.0199999169481777</v>
      </c>
    </row>
    <row r="714" spans="2:22" x14ac:dyDescent="0.2">
      <c r="B714" s="4" t="s">
        <v>332</v>
      </c>
      <c r="C714" s="42"/>
      <c r="D714" s="377">
        <v>1.02</v>
      </c>
      <c r="E714" s="42">
        <v>1.02</v>
      </c>
      <c r="F714" s="42">
        <v>1.02</v>
      </c>
      <c r="G714" s="42">
        <v>1.02</v>
      </c>
      <c r="H714" s="42">
        <v>1.02</v>
      </c>
      <c r="I714" s="42">
        <v>1.02</v>
      </c>
      <c r="J714" s="42">
        <v>1.02</v>
      </c>
      <c r="K714" s="42">
        <v>1.02</v>
      </c>
      <c r="L714" s="42">
        <v>1.02</v>
      </c>
      <c r="M714" s="42">
        <v>1.02</v>
      </c>
      <c r="N714" s="42">
        <v>1.02</v>
      </c>
      <c r="O714" s="42">
        <v>1.02</v>
      </c>
      <c r="P714" s="42">
        <v>1.02</v>
      </c>
      <c r="Q714" s="42">
        <v>1.02</v>
      </c>
      <c r="R714" s="42">
        <v>1.02</v>
      </c>
      <c r="S714" s="42">
        <v>1.02</v>
      </c>
      <c r="T714" s="42">
        <v>1.02</v>
      </c>
      <c r="U714" s="42">
        <v>1.02</v>
      </c>
      <c r="V714" s="378">
        <v>1.02</v>
      </c>
    </row>
    <row r="715" spans="2:22" x14ac:dyDescent="0.2">
      <c r="B715" s="4" t="s">
        <v>627</v>
      </c>
      <c r="C715" s="42"/>
      <c r="D715" s="377">
        <v>1.02</v>
      </c>
      <c r="E715" s="42">
        <v>1.02</v>
      </c>
      <c r="F715" s="42">
        <v>1.02</v>
      </c>
      <c r="G715" s="42">
        <v>1.02</v>
      </c>
      <c r="H715" s="42">
        <v>1.02</v>
      </c>
      <c r="I715" s="42">
        <v>1.02</v>
      </c>
      <c r="J715" s="42">
        <v>1.02</v>
      </c>
      <c r="K715" s="42">
        <v>1.02</v>
      </c>
      <c r="L715" s="42">
        <v>1.02</v>
      </c>
      <c r="M715" s="42">
        <v>1.02</v>
      </c>
      <c r="N715" s="42">
        <v>1.02</v>
      </c>
      <c r="O715" s="42">
        <v>1.02</v>
      </c>
      <c r="P715" s="42">
        <v>1.02</v>
      </c>
      <c r="Q715" s="42">
        <v>1.02</v>
      </c>
      <c r="R715" s="42">
        <v>1.02</v>
      </c>
      <c r="S715" s="42">
        <v>1.02</v>
      </c>
      <c r="T715" s="42">
        <v>1.02</v>
      </c>
      <c r="U715" s="42">
        <v>1.02</v>
      </c>
      <c r="V715" s="378">
        <v>1.02</v>
      </c>
    </row>
    <row r="716" spans="2:22" x14ac:dyDescent="0.2">
      <c r="B716" s="4" t="s">
        <v>628</v>
      </c>
      <c r="C716" s="47"/>
      <c r="D716" s="377">
        <v>0</v>
      </c>
      <c r="E716" s="42">
        <v>0</v>
      </c>
      <c r="F716" s="42">
        <v>4.9997988008530843E-2</v>
      </c>
      <c r="G716" s="42">
        <v>5.0000486190117002E-2</v>
      </c>
      <c r="H716" s="42">
        <v>5.0000402887900468E-2</v>
      </c>
      <c r="I716" s="42">
        <v>5.000069122649254E-2</v>
      </c>
      <c r="J716" s="42">
        <v>5.0000677673373052E-2</v>
      </c>
      <c r="K716" s="42">
        <v>5.0000411286459753E-2</v>
      </c>
      <c r="L716" s="42">
        <v>5.0000775427027667E-2</v>
      </c>
      <c r="M716" s="42">
        <v>5.0000760222714845E-2</v>
      </c>
      <c r="N716" s="42">
        <v>5.0000596253145235E-2</v>
      </c>
      <c r="O716" s="42">
        <v>5.0000496877562937E-2</v>
      </c>
      <c r="P716" s="42">
        <v>5.0000659064689777E-2</v>
      </c>
      <c r="Q716" s="42">
        <v>5.0000702328077108E-2</v>
      </c>
      <c r="R716" s="42">
        <v>5.0000798726004478E-2</v>
      </c>
      <c r="S716" s="42">
        <v>5.0000567046804043E-2</v>
      </c>
      <c r="T716" s="42">
        <v>5.000071476487148E-2</v>
      </c>
      <c r="U716" s="42">
        <v>5.0000830518222607E-2</v>
      </c>
      <c r="V716" s="378">
        <v>5.000055978561229E-2</v>
      </c>
    </row>
    <row r="717" spans="2:22" x14ac:dyDescent="0.2">
      <c r="B717" s="4"/>
      <c r="C717" s="47"/>
      <c r="D717" s="201"/>
      <c r="V717" s="202"/>
    </row>
    <row r="718" spans="2:22" x14ac:dyDescent="0.2">
      <c r="B718" s="226" t="s">
        <v>86</v>
      </c>
      <c r="C718" s="47"/>
      <c r="D718" s="201"/>
      <c r="V718" s="202"/>
    </row>
    <row r="719" spans="2:22" x14ac:dyDescent="0.2">
      <c r="B719" s="4" t="s">
        <v>355</v>
      </c>
      <c r="C719" s="42"/>
      <c r="D719" s="377"/>
      <c r="E719" s="42"/>
      <c r="F719" s="42"/>
      <c r="G719" s="42"/>
      <c r="H719" s="42"/>
      <c r="I719" s="42"/>
      <c r="J719" s="42"/>
      <c r="K719" s="42"/>
      <c r="L719" s="42"/>
      <c r="M719" s="42"/>
      <c r="N719" s="42"/>
      <c r="O719" s="42"/>
      <c r="P719" s="42"/>
      <c r="Q719" s="42"/>
      <c r="R719" s="42"/>
      <c r="S719" s="42"/>
      <c r="T719" s="42"/>
      <c r="U719" s="42"/>
      <c r="V719" s="378"/>
    </row>
    <row r="720" spans="2:22" x14ac:dyDescent="0.2">
      <c r="B720" s="4" t="s">
        <v>337</v>
      </c>
      <c r="C720" s="42"/>
      <c r="D720" s="377">
        <v>1.03</v>
      </c>
      <c r="E720" s="42">
        <v>1.03</v>
      </c>
      <c r="F720" s="42">
        <v>1.03</v>
      </c>
      <c r="G720" s="42">
        <v>1.03</v>
      </c>
      <c r="H720" s="42">
        <v>1.03</v>
      </c>
      <c r="I720" s="42">
        <v>1.03</v>
      </c>
      <c r="J720" s="42">
        <v>1.03</v>
      </c>
      <c r="K720" s="42">
        <v>1.03</v>
      </c>
      <c r="L720" s="42">
        <v>1.03</v>
      </c>
      <c r="M720" s="42">
        <v>1.03</v>
      </c>
      <c r="N720" s="42">
        <v>1.03</v>
      </c>
      <c r="O720" s="42">
        <v>1.03</v>
      </c>
      <c r="P720" s="42">
        <v>1.03</v>
      </c>
      <c r="Q720" s="42">
        <v>1.03</v>
      </c>
      <c r="R720" s="42">
        <v>1.03</v>
      </c>
      <c r="S720" s="42">
        <v>1.03</v>
      </c>
      <c r="T720" s="42">
        <v>1.03</v>
      </c>
      <c r="U720" s="42">
        <v>1.03</v>
      </c>
      <c r="V720" s="378">
        <v>1.03</v>
      </c>
    </row>
    <row r="721" spans="2:22" x14ac:dyDescent="0.2">
      <c r="B721" s="4" t="s">
        <v>338</v>
      </c>
      <c r="C721" s="42"/>
      <c r="D721" s="377">
        <v>1.03</v>
      </c>
      <c r="E721" s="42">
        <v>1.03</v>
      </c>
      <c r="F721" s="42">
        <v>1.03</v>
      </c>
      <c r="G721" s="42">
        <v>1.03</v>
      </c>
      <c r="H721" s="42">
        <v>1.03</v>
      </c>
      <c r="I721" s="42">
        <v>1.03</v>
      </c>
      <c r="J721" s="42">
        <v>1.03</v>
      </c>
      <c r="K721" s="42">
        <v>1.03</v>
      </c>
      <c r="L721" s="42">
        <v>1.03</v>
      </c>
      <c r="M721" s="42">
        <v>1.03</v>
      </c>
      <c r="N721" s="42">
        <v>1.03</v>
      </c>
      <c r="O721" s="42">
        <v>1.03</v>
      </c>
      <c r="P721" s="42">
        <v>1.03</v>
      </c>
      <c r="Q721" s="42">
        <v>1.03</v>
      </c>
      <c r="R721" s="42">
        <v>1.03</v>
      </c>
      <c r="S721" s="42">
        <v>1.03</v>
      </c>
      <c r="T721" s="42">
        <v>1.03</v>
      </c>
      <c r="U721" s="42">
        <v>1.03</v>
      </c>
      <c r="V721" s="378">
        <v>1.03</v>
      </c>
    </row>
    <row r="722" spans="2:22" x14ac:dyDescent="0.2">
      <c r="B722" s="4" t="s">
        <v>339</v>
      </c>
      <c r="C722" s="42"/>
      <c r="D722" s="377">
        <v>1.03</v>
      </c>
      <c r="E722" s="42">
        <v>1.03</v>
      </c>
      <c r="F722" s="42">
        <v>1.03</v>
      </c>
      <c r="G722" s="42">
        <v>1.03</v>
      </c>
      <c r="H722" s="42">
        <v>1.03</v>
      </c>
      <c r="I722" s="42">
        <v>1.03</v>
      </c>
      <c r="J722" s="42">
        <v>1.03</v>
      </c>
      <c r="K722" s="42">
        <v>1.03</v>
      </c>
      <c r="L722" s="42">
        <v>1.03</v>
      </c>
      <c r="M722" s="42">
        <v>1.03</v>
      </c>
      <c r="N722" s="42">
        <v>1.03</v>
      </c>
      <c r="O722" s="42">
        <v>1.03</v>
      </c>
      <c r="P722" s="42">
        <v>1.03</v>
      </c>
      <c r="Q722" s="42">
        <v>1.03</v>
      </c>
      <c r="R722" s="42">
        <v>1.03</v>
      </c>
      <c r="S722" s="42">
        <v>1.03</v>
      </c>
      <c r="T722" s="42">
        <v>1.03</v>
      </c>
      <c r="U722" s="42">
        <v>1.03</v>
      </c>
      <c r="V722" s="378">
        <v>1.03</v>
      </c>
    </row>
    <row r="723" spans="2:22" x14ac:dyDescent="0.2">
      <c r="B723" s="4" t="s">
        <v>230</v>
      </c>
      <c r="C723" s="42"/>
      <c r="D723" s="377">
        <v>1.03</v>
      </c>
      <c r="E723" s="42">
        <v>1.03</v>
      </c>
      <c r="F723" s="42">
        <v>1.03</v>
      </c>
      <c r="G723" s="42">
        <v>1.03</v>
      </c>
      <c r="H723" s="42">
        <v>1.03</v>
      </c>
      <c r="I723" s="42">
        <v>1.03</v>
      </c>
      <c r="J723" s="42">
        <v>1.03</v>
      </c>
      <c r="K723" s="42">
        <v>1.03</v>
      </c>
      <c r="L723" s="42">
        <v>1.03</v>
      </c>
      <c r="M723" s="42">
        <v>1.03</v>
      </c>
      <c r="N723" s="42">
        <v>1.03</v>
      </c>
      <c r="O723" s="42">
        <v>1.03</v>
      </c>
      <c r="P723" s="42">
        <v>1.03</v>
      </c>
      <c r="Q723" s="42">
        <v>1.03</v>
      </c>
      <c r="R723" s="42">
        <v>1.03</v>
      </c>
      <c r="S723" s="42">
        <v>1.03</v>
      </c>
      <c r="T723" s="42">
        <v>1.03</v>
      </c>
      <c r="U723" s="42">
        <v>1.03</v>
      </c>
      <c r="V723" s="378">
        <v>1.03</v>
      </c>
    </row>
    <row r="724" spans="2:22" x14ac:dyDescent="0.2">
      <c r="B724" s="4"/>
      <c r="C724" s="42"/>
      <c r="D724" s="377"/>
      <c r="E724" s="42"/>
      <c r="F724" s="42"/>
      <c r="G724" s="42"/>
      <c r="H724" s="42"/>
      <c r="I724" s="42"/>
      <c r="J724" s="42"/>
      <c r="K724" s="42"/>
      <c r="L724" s="42"/>
      <c r="M724" s="42"/>
      <c r="N724" s="42"/>
      <c r="O724" s="42"/>
      <c r="P724" s="42"/>
      <c r="Q724" s="42"/>
      <c r="R724" s="42"/>
      <c r="S724" s="42"/>
      <c r="T724" s="42"/>
      <c r="U724" s="42"/>
      <c r="V724" s="378"/>
    </row>
    <row r="725" spans="2:22" x14ac:dyDescent="0.2">
      <c r="B725" s="4"/>
      <c r="C725" s="42"/>
      <c r="D725" s="377"/>
      <c r="E725" s="42"/>
      <c r="F725" s="42"/>
      <c r="G725" s="42"/>
      <c r="H725" s="42"/>
      <c r="I725" s="42"/>
      <c r="J725" s="42"/>
      <c r="K725" s="42"/>
      <c r="L725" s="42"/>
      <c r="M725" s="42"/>
      <c r="N725" s="42"/>
      <c r="O725" s="42"/>
      <c r="P725" s="42"/>
      <c r="Q725" s="42"/>
      <c r="R725" s="42"/>
      <c r="S725" s="42"/>
      <c r="T725" s="42"/>
      <c r="U725" s="42"/>
      <c r="V725" s="378"/>
    </row>
    <row r="726" spans="2:22" x14ac:dyDescent="0.2">
      <c r="B726" s="4" t="s">
        <v>373</v>
      </c>
      <c r="C726" s="42"/>
      <c r="D726" s="377"/>
      <c r="E726" s="42"/>
      <c r="F726" s="42"/>
      <c r="G726" s="42"/>
      <c r="H726" s="42"/>
      <c r="I726" s="42"/>
      <c r="J726" s="42"/>
      <c r="K726" s="42"/>
      <c r="L726" s="42"/>
      <c r="M726" s="42"/>
      <c r="N726" s="42"/>
      <c r="O726" s="42"/>
      <c r="P726" s="42"/>
      <c r="Q726" s="42"/>
      <c r="R726" s="42"/>
      <c r="S726" s="42"/>
      <c r="T726" s="42"/>
      <c r="U726" s="42"/>
      <c r="V726" s="378"/>
    </row>
    <row r="727" spans="2:22" x14ac:dyDescent="0.2">
      <c r="B727" s="4" t="s">
        <v>342</v>
      </c>
      <c r="C727" s="42"/>
      <c r="D727" s="377">
        <v>1.03</v>
      </c>
      <c r="E727" s="42">
        <v>1.03</v>
      </c>
      <c r="F727" s="42">
        <v>1.03</v>
      </c>
      <c r="G727" s="42">
        <v>1.03</v>
      </c>
      <c r="H727" s="42">
        <v>1.03</v>
      </c>
      <c r="I727" s="42">
        <v>1.03</v>
      </c>
      <c r="J727" s="42">
        <v>1.03</v>
      </c>
      <c r="K727" s="42">
        <v>1.03</v>
      </c>
      <c r="L727" s="42">
        <v>1.03</v>
      </c>
      <c r="M727" s="42">
        <v>1.03</v>
      </c>
      <c r="N727" s="42">
        <v>1.03</v>
      </c>
      <c r="O727" s="42">
        <v>1.03</v>
      </c>
      <c r="P727" s="42">
        <v>1.03</v>
      </c>
      <c r="Q727" s="42">
        <v>1.03</v>
      </c>
      <c r="R727" s="42">
        <v>1.03</v>
      </c>
      <c r="S727" s="42">
        <v>1.03</v>
      </c>
      <c r="T727" s="42">
        <v>1.03</v>
      </c>
      <c r="U727" s="42">
        <v>1.03</v>
      </c>
      <c r="V727" s="378">
        <v>1.03</v>
      </c>
    </row>
    <row r="728" spans="2:22" x14ac:dyDescent="0.2">
      <c r="B728" s="4" t="s">
        <v>343</v>
      </c>
      <c r="C728" s="42"/>
      <c r="D728" s="377">
        <v>1.03</v>
      </c>
      <c r="E728" s="42">
        <v>1.03</v>
      </c>
      <c r="F728" s="42">
        <v>1.03</v>
      </c>
      <c r="G728" s="42">
        <v>1.03</v>
      </c>
      <c r="H728" s="42">
        <v>1.03</v>
      </c>
      <c r="I728" s="42">
        <v>1.03</v>
      </c>
      <c r="J728" s="42">
        <v>1.03</v>
      </c>
      <c r="K728" s="42">
        <v>1.03</v>
      </c>
      <c r="L728" s="42">
        <v>1.03</v>
      </c>
      <c r="M728" s="42">
        <v>1.03</v>
      </c>
      <c r="N728" s="42">
        <v>1.03</v>
      </c>
      <c r="O728" s="42">
        <v>1.03</v>
      </c>
      <c r="P728" s="42">
        <v>1.03</v>
      </c>
      <c r="Q728" s="42">
        <v>1.03</v>
      </c>
      <c r="R728" s="42">
        <v>1.03</v>
      </c>
      <c r="S728" s="42">
        <v>1.03</v>
      </c>
      <c r="T728" s="42">
        <v>1.03</v>
      </c>
      <c r="U728" s="42">
        <v>1.03</v>
      </c>
      <c r="V728" s="378">
        <v>1.03</v>
      </c>
    </row>
    <row r="729" spans="2:22" x14ac:dyDescent="0.2">
      <c r="B729" s="4" t="s">
        <v>344</v>
      </c>
      <c r="C729" s="42"/>
      <c r="D729" s="377">
        <v>1.03</v>
      </c>
      <c r="E729" s="42">
        <v>1.03</v>
      </c>
      <c r="F729" s="42">
        <v>1.03</v>
      </c>
      <c r="G729" s="42">
        <v>1.03</v>
      </c>
      <c r="H729" s="42">
        <v>1.03</v>
      </c>
      <c r="I729" s="42">
        <v>1.03</v>
      </c>
      <c r="J729" s="42">
        <v>1.03</v>
      </c>
      <c r="K729" s="42">
        <v>1.03</v>
      </c>
      <c r="L729" s="42">
        <v>1.03</v>
      </c>
      <c r="M729" s="42">
        <v>1.03</v>
      </c>
      <c r="N729" s="42">
        <v>1.03</v>
      </c>
      <c r="O729" s="42">
        <v>1.03</v>
      </c>
      <c r="P729" s="42">
        <v>1.03</v>
      </c>
      <c r="Q729" s="42">
        <v>1.03</v>
      </c>
      <c r="R729" s="42">
        <v>1.03</v>
      </c>
      <c r="S729" s="42">
        <v>1.03</v>
      </c>
      <c r="T729" s="42">
        <v>1.03</v>
      </c>
      <c r="U729" s="42">
        <v>1.03</v>
      </c>
      <c r="V729" s="378">
        <v>1.03</v>
      </c>
    </row>
    <row r="730" spans="2:22" x14ac:dyDescent="0.2">
      <c r="B730" s="4" t="s">
        <v>345</v>
      </c>
      <c r="C730" s="42"/>
      <c r="D730" s="377">
        <v>1.03</v>
      </c>
      <c r="E730" s="42">
        <v>1.03</v>
      </c>
      <c r="F730" s="42">
        <v>1.03</v>
      </c>
      <c r="G730" s="42">
        <v>1.03</v>
      </c>
      <c r="H730" s="42">
        <v>1.03</v>
      </c>
      <c r="I730" s="42">
        <v>1.03</v>
      </c>
      <c r="J730" s="42">
        <v>1.03</v>
      </c>
      <c r="K730" s="42">
        <v>1.03</v>
      </c>
      <c r="L730" s="42">
        <v>1.03</v>
      </c>
      <c r="M730" s="42">
        <v>1.03</v>
      </c>
      <c r="N730" s="42">
        <v>1.03</v>
      </c>
      <c r="O730" s="42">
        <v>1.03</v>
      </c>
      <c r="P730" s="42">
        <v>1.03</v>
      </c>
      <c r="Q730" s="42">
        <v>1.03</v>
      </c>
      <c r="R730" s="42">
        <v>1.03</v>
      </c>
      <c r="S730" s="42">
        <v>1.03</v>
      </c>
      <c r="T730" s="42">
        <v>1.03</v>
      </c>
      <c r="U730" s="42">
        <v>1.03</v>
      </c>
      <c r="V730" s="378">
        <v>1.03</v>
      </c>
    </row>
    <row r="731" spans="2:22" x14ac:dyDescent="0.2">
      <c r="B731" s="4" t="s">
        <v>230</v>
      </c>
      <c r="C731" s="42"/>
      <c r="D731" s="377">
        <v>1.03</v>
      </c>
      <c r="E731" s="42">
        <v>1.03</v>
      </c>
      <c r="F731" s="42">
        <v>1.03</v>
      </c>
      <c r="G731" s="42">
        <v>1.03</v>
      </c>
      <c r="H731" s="42">
        <v>1.03</v>
      </c>
      <c r="I731" s="42">
        <v>1.03</v>
      </c>
      <c r="J731" s="42">
        <v>1.03</v>
      </c>
      <c r="K731" s="42">
        <v>1.03</v>
      </c>
      <c r="L731" s="42">
        <v>1.03</v>
      </c>
      <c r="M731" s="42">
        <v>1.03</v>
      </c>
      <c r="N731" s="42">
        <v>1.03</v>
      </c>
      <c r="O731" s="42">
        <v>1.03</v>
      </c>
      <c r="P731" s="42">
        <v>1.03</v>
      </c>
      <c r="Q731" s="42">
        <v>1.03</v>
      </c>
      <c r="R731" s="42">
        <v>1.03</v>
      </c>
      <c r="S731" s="42">
        <v>1.03</v>
      </c>
      <c r="T731" s="42">
        <v>1.03</v>
      </c>
      <c r="U731" s="42">
        <v>1.03</v>
      </c>
      <c r="V731" s="378">
        <v>1.03</v>
      </c>
    </row>
    <row r="732" spans="2:22" x14ac:dyDescent="0.2">
      <c r="B732" s="4" t="s">
        <v>346</v>
      </c>
      <c r="C732" s="42"/>
      <c r="D732" s="377">
        <v>1.03</v>
      </c>
      <c r="E732" s="42">
        <v>1.03</v>
      </c>
      <c r="F732" s="42">
        <v>1.03</v>
      </c>
      <c r="G732" s="42">
        <v>1.03</v>
      </c>
      <c r="H732" s="42">
        <v>1.03</v>
      </c>
      <c r="I732" s="42">
        <v>1.03</v>
      </c>
      <c r="J732" s="42">
        <v>1.03</v>
      </c>
      <c r="K732" s="42">
        <v>1.03</v>
      </c>
      <c r="L732" s="42">
        <v>1.03</v>
      </c>
      <c r="M732" s="42">
        <v>1.03</v>
      </c>
      <c r="N732" s="42">
        <v>1.03</v>
      </c>
      <c r="O732" s="42">
        <v>1.03</v>
      </c>
      <c r="P732" s="42">
        <v>1.03</v>
      </c>
      <c r="Q732" s="42">
        <v>1.03</v>
      </c>
      <c r="R732" s="42">
        <v>1.03</v>
      </c>
      <c r="S732" s="42">
        <v>1.03</v>
      </c>
      <c r="T732" s="42">
        <v>1.03</v>
      </c>
      <c r="U732" s="42">
        <v>1.03</v>
      </c>
      <c r="V732" s="378">
        <v>1.03</v>
      </c>
    </row>
    <row r="733" spans="2:22" x14ac:dyDescent="0.2">
      <c r="B733" s="4"/>
      <c r="C733" s="47"/>
      <c r="D733" s="201"/>
      <c r="V733" s="202"/>
    </row>
    <row r="734" spans="2:22" x14ac:dyDescent="0.2">
      <c r="B734" s="4" t="s">
        <v>629</v>
      </c>
      <c r="C734" s="42"/>
      <c r="D734" s="377">
        <v>1.03</v>
      </c>
      <c r="E734" s="42">
        <v>1.03</v>
      </c>
      <c r="F734" s="42">
        <v>1.03</v>
      </c>
      <c r="G734" s="42">
        <v>1.03</v>
      </c>
      <c r="H734" s="42">
        <v>1.03</v>
      </c>
      <c r="I734" s="42">
        <v>1.03</v>
      </c>
      <c r="J734" s="42">
        <v>1.03</v>
      </c>
      <c r="K734" s="42">
        <v>1.03</v>
      </c>
      <c r="L734" s="42">
        <v>1.03</v>
      </c>
      <c r="M734" s="42">
        <v>1.03</v>
      </c>
      <c r="N734" s="42">
        <v>1.03</v>
      </c>
      <c r="O734" s="42">
        <v>1.03</v>
      </c>
      <c r="P734" s="42">
        <v>1.03</v>
      </c>
      <c r="Q734" s="42">
        <v>1.03</v>
      </c>
      <c r="R734" s="42">
        <v>1.03</v>
      </c>
      <c r="S734" s="42">
        <v>1.03</v>
      </c>
      <c r="T734" s="42">
        <v>1.03</v>
      </c>
      <c r="U734" s="42">
        <v>1.03</v>
      </c>
      <c r="V734" s="378">
        <v>1.03</v>
      </c>
    </row>
    <row r="735" spans="2:22" ht="15.75" thickBot="1" x14ac:dyDescent="0.25">
      <c r="B735" s="4" t="s">
        <v>630</v>
      </c>
      <c r="C735" s="42"/>
      <c r="D735" s="381">
        <v>1.03</v>
      </c>
      <c r="E735" s="382">
        <v>1.03</v>
      </c>
      <c r="F735" s="382">
        <v>1.03</v>
      </c>
      <c r="G735" s="382">
        <v>1.03</v>
      </c>
      <c r="H735" s="382">
        <v>1.03</v>
      </c>
      <c r="I735" s="382">
        <v>1.03</v>
      </c>
      <c r="J735" s="382">
        <v>1.03</v>
      </c>
      <c r="K735" s="382">
        <v>1.03</v>
      </c>
      <c r="L735" s="382">
        <v>1.03</v>
      </c>
      <c r="M735" s="382">
        <v>1.03</v>
      </c>
      <c r="N735" s="382">
        <v>1.03</v>
      </c>
      <c r="O735" s="382">
        <v>1.03</v>
      </c>
      <c r="P735" s="382">
        <v>1.03</v>
      </c>
      <c r="Q735" s="382">
        <v>1.03</v>
      </c>
      <c r="R735" s="382">
        <v>1.03</v>
      </c>
      <c r="S735" s="382">
        <v>1.03</v>
      </c>
      <c r="T735" s="382">
        <v>1.03</v>
      </c>
      <c r="U735" s="382">
        <v>1.03</v>
      </c>
      <c r="V735" s="383">
        <v>1.03</v>
      </c>
    </row>
  </sheetData>
  <mergeCells count="52">
    <mergeCell ref="C11:D11"/>
    <mergeCell ref="A1:G1"/>
    <mergeCell ref="A2:D2"/>
    <mergeCell ref="B5:D5"/>
    <mergeCell ref="C9:D9"/>
    <mergeCell ref="C10:D10"/>
    <mergeCell ref="G22:M22"/>
    <mergeCell ref="B14:C14"/>
    <mergeCell ref="D14:E14"/>
    <mergeCell ref="B15:C15"/>
    <mergeCell ref="D15:E15"/>
    <mergeCell ref="K15:L15"/>
    <mergeCell ref="D16:E16"/>
    <mergeCell ref="B17:C17"/>
    <mergeCell ref="D17:E17"/>
    <mergeCell ref="B18:D18"/>
    <mergeCell ref="A21:B21"/>
    <mergeCell ref="B22:E22"/>
    <mergeCell ref="G180:H180"/>
    <mergeCell ref="B24:E24"/>
    <mergeCell ref="B25:E25"/>
    <mergeCell ref="B27:E27"/>
    <mergeCell ref="B28:E28"/>
    <mergeCell ref="B29:E29"/>
    <mergeCell ref="B30:E30"/>
    <mergeCell ref="AE47:AJ47"/>
    <mergeCell ref="A118:D118"/>
    <mergeCell ref="A119:D119"/>
    <mergeCell ref="G178:H178"/>
    <mergeCell ref="G179:H179"/>
    <mergeCell ref="A492:I492"/>
    <mergeCell ref="G181:H181"/>
    <mergeCell ref="B183:C184"/>
    <mergeCell ref="A190:G190"/>
    <mergeCell ref="A191:G191"/>
    <mergeCell ref="I191:J191"/>
    <mergeCell ref="A254:G254"/>
    <mergeCell ref="A255:G255"/>
    <mergeCell ref="I255:J255"/>
    <mergeCell ref="A336:G336"/>
    <mergeCell ref="A337:G337"/>
    <mergeCell ref="I337:J337"/>
    <mergeCell ref="A617:B617"/>
    <mergeCell ref="A626:B626"/>
    <mergeCell ref="B705:G705"/>
    <mergeCell ref="B706:G706"/>
    <mergeCell ref="A493:I493"/>
    <mergeCell ref="I496:L496"/>
    <mergeCell ref="A497:E497"/>
    <mergeCell ref="A568:E568"/>
    <mergeCell ref="A569:E569"/>
    <mergeCell ref="A610:B610"/>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AC5D49-73EE-46E6-A743-896CF68ECF10}">
  <dimension ref="A1:C9"/>
  <sheetViews>
    <sheetView zoomScaleNormal="100" workbookViewId="0">
      <selection activeCell="C9" sqref="C9"/>
    </sheetView>
  </sheetViews>
  <sheetFormatPr defaultColWidth="9.140625" defaultRowHeight="15.75" x14ac:dyDescent="0.25"/>
  <cols>
    <col min="1" max="1" width="61.7109375" style="392" customWidth="1"/>
    <col min="2" max="2" width="33.7109375" style="392" customWidth="1"/>
    <col min="3" max="3" width="49.28515625" style="392" customWidth="1"/>
    <col min="4" max="16384" width="9.140625" style="392"/>
  </cols>
  <sheetData>
    <row r="1" spans="1:3" ht="16.5" thickBot="1" x14ac:dyDescent="0.3">
      <c r="A1" s="487" t="s">
        <v>1053</v>
      </c>
    </row>
    <row r="2" spans="1:3" x14ac:dyDescent="0.25">
      <c r="A2" s="478" t="s">
        <v>1119</v>
      </c>
    </row>
    <row r="3" spans="1:3" ht="16.5" thickBot="1" x14ac:dyDescent="0.3">
      <c r="A3" s="478" t="s">
        <v>1041</v>
      </c>
      <c r="B3" s="485"/>
      <c r="C3" s="485"/>
    </row>
    <row r="4" spans="1:3" ht="16.5" thickBot="1" x14ac:dyDescent="0.3">
      <c r="A4" s="422" t="s">
        <v>0</v>
      </c>
      <c r="B4" s="423" t="s">
        <v>711</v>
      </c>
      <c r="C4" s="424" t="s">
        <v>712</v>
      </c>
    </row>
    <row r="5" spans="1:3" x14ac:dyDescent="0.25">
      <c r="A5" s="392" t="str">
        <f>'CASE INPUTS'!$B$10</f>
        <v>westrmt</v>
      </c>
      <c r="B5" s="392" t="s">
        <v>1</v>
      </c>
      <c r="C5" s="407">
        <f>DATA!B$9</f>
        <v>97</v>
      </c>
    </row>
    <row r="6" spans="1:3" x14ac:dyDescent="0.25">
      <c r="A6" s="392" t="str">
        <f>'CASE INPUTS'!$B$10</f>
        <v>westrmt</v>
      </c>
      <c r="B6" s="392" t="s">
        <v>2</v>
      </c>
      <c r="C6" s="407">
        <f>DATA!B$10</f>
        <v>96</v>
      </c>
    </row>
    <row r="7" spans="1:3" x14ac:dyDescent="0.25">
      <c r="A7" s="392" t="str">
        <f>'CASE INPUTS'!$B$10</f>
        <v>westrmt</v>
      </c>
      <c r="B7" s="392" t="s">
        <v>3</v>
      </c>
      <c r="C7" s="407">
        <f>DATA!B$11</f>
        <v>1</v>
      </c>
    </row>
    <row r="8" spans="1:3" x14ac:dyDescent="0.25">
      <c r="A8" s="392" t="str">
        <f>'CASE INPUTS'!$B$10</f>
        <v>westrmt</v>
      </c>
      <c r="B8" s="392" t="s">
        <v>4</v>
      </c>
      <c r="C8" s="407">
        <f>DATA!B$12</f>
        <v>1</v>
      </c>
    </row>
    <row r="9" spans="1:3" x14ac:dyDescent="0.25">
      <c r="A9" s="392" t="str">
        <f>'CASE INPUTS'!$B$10</f>
        <v>westrmt</v>
      </c>
      <c r="B9" s="392" t="s">
        <v>5</v>
      </c>
      <c r="C9" s="407">
        <f>DATA!E$11</f>
        <v>0</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C4654-BEB8-4B24-9405-0A963D242D1B}">
  <dimension ref="A1:F49"/>
  <sheetViews>
    <sheetView zoomScaleNormal="100" workbookViewId="0">
      <selection activeCell="C37" sqref="C37"/>
    </sheetView>
  </sheetViews>
  <sheetFormatPr defaultRowHeight="15" x14ac:dyDescent="0.25"/>
  <cols>
    <col min="1" max="1" width="71.28515625" bestFit="1" customWidth="1"/>
    <col min="2" max="2" width="9.42578125" style="386" bestFit="1" customWidth="1"/>
    <col min="3" max="3" width="15.28515625" bestFit="1" customWidth="1"/>
    <col min="4" max="4" width="16" bestFit="1" customWidth="1"/>
    <col min="5" max="5" width="9.7109375" bestFit="1" customWidth="1"/>
    <col min="6" max="6" width="81.140625" customWidth="1"/>
  </cols>
  <sheetData>
    <row r="1" spans="1:6" ht="15.75" thickBot="1" x14ac:dyDescent="0.3">
      <c r="A1" s="425" t="s">
        <v>0</v>
      </c>
      <c r="B1" s="426" t="s">
        <v>6</v>
      </c>
      <c r="C1" s="427" t="s">
        <v>7</v>
      </c>
      <c r="D1" s="427" t="s">
        <v>8</v>
      </c>
      <c r="E1" s="428" t="s">
        <v>9</v>
      </c>
      <c r="F1" s="476" t="s">
        <v>991</v>
      </c>
    </row>
    <row r="2" spans="1:6" x14ac:dyDescent="0.25">
      <c r="A2" t="str">
        <f>'CASE INPUTS'!$B$10</f>
        <v>westrmt</v>
      </c>
      <c r="B2" s="386">
        <f>DATA!G124</f>
        <v>46753</v>
      </c>
      <c r="C2" s="384">
        <f>DATA!H124</f>
        <v>0</v>
      </c>
      <c r="D2" s="384">
        <f>DATA!P124</f>
        <v>0</v>
      </c>
      <c r="E2" s="384">
        <f>C2+D2</f>
        <v>0</v>
      </c>
      <c r="F2" s="474" t="s">
        <v>990</v>
      </c>
    </row>
    <row r="3" spans="1:6" x14ac:dyDescent="0.25">
      <c r="C3" s="384"/>
      <c r="D3" s="384"/>
      <c r="E3" s="384"/>
      <c r="F3" s="474" t="s">
        <v>989</v>
      </c>
    </row>
    <row r="4" spans="1:6" x14ac:dyDescent="0.25">
      <c r="C4" s="384"/>
      <c r="D4" s="384"/>
      <c r="E4" s="384"/>
      <c r="F4" s="474" t="s">
        <v>1027</v>
      </c>
    </row>
    <row r="5" spans="1:6" x14ac:dyDescent="0.25">
      <c r="C5" s="384"/>
      <c r="D5" s="384"/>
      <c r="E5" s="384"/>
    </row>
    <row r="6" spans="1:6" x14ac:dyDescent="0.25">
      <c r="C6" s="384"/>
      <c r="D6" s="384"/>
      <c r="E6" s="384"/>
    </row>
    <row r="7" spans="1:6" x14ac:dyDescent="0.25">
      <c r="C7" s="384"/>
      <c r="D7" s="384"/>
      <c r="E7" s="384"/>
    </row>
    <row r="8" spans="1:6" x14ac:dyDescent="0.25">
      <c r="C8" s="384"/>
      <c r="D8" s="384"/>
      <c r="E8" s="384"/>
    </row>
    <row r="9" spans="1:6" x14ac:dyDescent="0.25">
      <c r="C9" s="384"/>
      <c r="D9" s="384"/>
      <c r="E9" s="384"/>
    </row>
    <row r="10" spans="1:6" x14ac:dyDescent="0.25">
      <c r="C10" s="384"/>
      <c r="D10" s="384"/>
      <c r="E10" s="384"/>
    </row>
    <row r="11" spans="1:6" x14ac:dyDescent="0.25">
      <c r="C11" s="384"/>
      <c r="D11" s="384"/>
      <c r="E11" s="384"/>
    </row>
    <row r="12" spans="1:6" x14ac:dyDescent="0.25">
      <c r="C12" s="384"/>
      <c r="D12" s="384"/>
      <c r="E12" s="384"/>
    </row>
    <row r="13" spans="1:6" x14ac:dyDescent="0.25">
      <c r="C13" s="384"/>
      <c r="D13" s="384"/>
      <c r="E13" s="384"/>
    </row>
    <row r="14" spans="1:6" x14ac:dyDescent="0.25">
      <c r="C14" s="384"/>
      <c r="D14" s="384"/>
      <c r="E14" s="384"/>
    </row>
    <row r="15" spans="1:6" x14ac:dyDescent="0.25">
      <c r="C15" s="384"/>
      <c r="D15" s="384"/>
      <c r="E15" s="384"/>
    </row>
    <row r="16" spans="1:6" x14ac:dyDescent="0.25">
      <c r="C16" s="384"/>
      <c r="D16" s="384"/>
      <c r="E16" s="384"/>
    </row>
    <row r="17" spans="3:5" x14ac:dyDescent="0.25">
      <c r="C17" s="384"/>
      <c r="D17" s="384"/>
      <c r="E17" s="384"/>
    </row>
    <row r="18" spans="3:5" x14ac:dyDescent="0.25">
      <c r="C18" s="384"/>
      <c r="D18" s="384"/>
      <c r="E18" s="384"/>
    </row>
    <row r="19" spans="3:5" x14ac:dyDescent="0.25">
      <c r="C19" s="384"/>
      <c r="D19" s="384"/>
      <c r="E19" s="384"/>
    </row>
    <row r="20" spans="3:5" x14ac:dyDescent="0.25">
      <c r="C20" s="384"/>
      <c r="D20" s="384"/>
      <c r="E20" s="384"/>
    </row>
    <row r="21" spans="3:5" x14ac:dyDescent="0.25">
      <c r="C21" s="384"/>
      <c r="D21" s="384"/>
      <c r="E21" s="384"/>
    </row>
    <row r="22" spans="3:5" x14ac:dyDescent="0.25">
      <c r="C22" s="384"/>
      <c r="D22" s="384"/>
      <c r="E22" s="384"/>
    </row>
    <row r="23" spans="3:5" x14ac:dyDescent="0.25">
      <c r="C23" s="384"/>
      <c r="D23" s="384"/>
      <c r="E23" s="384"/>
    </row>
    <row r="24" spans="3:5" x14ac:dyDescent="0.25">
      <c r="C24" s="384"/>
      <c r="D24" s="384"/>
      <c r="E24" s="384"/>
    </row>
    <row r="25" spans="3:5" x14ac:dyDescent="0.25">
      <c r="C25" s="384"/>
      <c r="D25" s="384"/>
      <c r="E25" s="384"/>
    </row>
    <row r="26" spans="3:5" x14ac:dyDescent="0.25">
      <c r="C26" s="384"/>
      <c r="D26" s="384"/>
      <c r="E26" s="384"/>
    </row>
    <row r="27" spans="3:5" x14ac:dyDescent="0.25">
      <c r="C27" s="384"/>
      <c r="D27" s="384"/>
      <c r="E27" s="384"/>
    </row>
    <row r="28" spans="3:5" x14ac:dyDescent="0.25">
      <c r="C28" s="384"/>
      <c r="D28" s="384"/>
      <c r="E28" s="384"/>
    </row>
    <row r="29" spans="3:5" x14ac:dyDescent="0.25">
      <c r="C29" s="384"/>
      <c r="D29" s="384"/>
      <c r="E29" s="384"/>
    </row>
    <row r="30" spans="3:5" x14ac:dyDescent="0.25">
      <c r="C30" s="384"/>
      <c r="D30" s="384"/>
      <c r="E30" s="384"/>
    </row>
    <row r="31" spans="3:5" x14ac:dyDescent="0.25">
      <c r="C31" s="384"/>
      <c r="D31" s="384"/>
      <c r="E31" s="384"/>
    </row>
    <row r="32" spans="3:5" x14ac:dyDescent="0.25">
      <c r="C32" s="384"/>
      <c r="D32" s="384"/>
      <c r="E32" s="384"/>
    </row>
    <row r="33" spans="3:5" x14ac:dyDescent="0.25">
      <c r="C33" s="384"/>
      <c r="D33" s="384"/>
      <c r="E33" s="384"/>
    </row>
    <row r="34" spans="3:5" x14ac:dyDescent="0.25">
      <c r="C34" s="384"/>
      <c r="D34" s="384"/>
      <c r="E34" s="384"/>
    </row>
    <row r="35" spans="3:5" x14ac:dyDescent="0.25">
      <c r="C35" s="384"/>
      <c r="D35" s="384"/>
      <c r="E35" s="384"/>
    </row>
    <row r="36" spans="3:5" x14ac:dyDescent="0.25">
      <c r="C36" s="384"/>
      <c r="D36" s="384"/>
      <c r="E36" s="384"/>
    </row>
    <row r="37" spans="3:5" x14ac:dyDescent="0.25">
      <c r="C37" s="384"/>
      <c r="D37" s="384"/>
      <c r="E37" s="384"/>
    </row>
    <row r="38" spans="3:5" x14ac:dyDescent="0.25">
      <c r="C38" s="384"/>
      <c r="D38" s="384"/>
      <c r="E38" s="384"/>
    </row>
    <row r="39" spans="3:5" x14ac:dyDescent="0.25">
      <c r="C39" s="384"/>
      <c r="D39" s="384"/>
      <c r="E39" s="384"/>
    </row>
    <row r="40" spans="3:5" x14ac:dyDescent="0.25">
      <c r="C40" s="384"/>
      <c r="D40" s="384"/>
      <c r="E40" s="384"/>
    </row>
    <row r="41" spans="3:5" x14ac:dyDescent="0.25">
      <c r="C41" s="384"/>
      <c r="D41" s="384"/>
      <c r="E41" s="384"/>
    </row>
    <row r="42" spans="3:5" x14ac:dyDescent="0.25">
      <c r="C42" s="384"/>
      <c r="D42" s="384"/>
      <c r="E42" s="384"/>
    </row>
    <row r="43" spans="3:5" x14ac:dyDescent="0.25">
      <c r="C43" s="384"/>
      <c r="D43" s="384"/>
      <c r="E43" s="384"/>
    </row>
    <row r="44" spans="3:5" x14ac:dyDescent="0.25">
      <c r="C44" s="384"/>
      <c r="D44" s="384"/>
      <c r="E44" s="384"/>
    </row>
    <row r="45" spans="3:5" x14ac:dyDescent="0.25">
      <c r="C45" s="384"/>
      <c r="D45" s="384"/>
      <c r="E45" s="384"/>
    </row>
    <row r="46" spans="3:5" x14ac:dyDescent="0.25">
      <c r="C46" s="384"/>
      <c r="D46" s="384"/>
      <c r="E46" s="384"/>
    </row>
    <row r="47" spans="3:5" x14ac:dyDescent="0.25">
      <c r="C47" s="384"/>
      <c r="D47" s="384"/>
      <c r="E47" s="384"/>
    </row>
    <row r="48" spans="3:5" x14ac:dyDescent="0.25">
      <c r="C48" s="384"/>
      <c r="D48" s="384"/>
      <c r="E48" s="384"/>
    </row>
    <row r="49" spans="3:6" ht="15.75" x14ac:dyDescent="0.25">
      <c r="C49" s="384"/>
      <c r="D49" s="384"/>
      <c r="E49" s="384"/>
      <c r="F49" s="475" t="s">
        <v>1032</v>
      </c>
    </row>
  </sheetData>
  <conditionalFormatting sqref="A2:E49">
    <cfRule type="expression" dxfId="4" priority="1">
      <formula>$E2&gt;0</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612479-EE7C-4507-8BD3-DDB7A325A7AD}">
  <dimension ref="A1:H20"/>
  <sheetViews>
    <sheetView workbookViewId="0">
      <selection activeCell="H31" sqref="H31"/>
    </sheetView>
  </sheetViews>
  <sheetFormatPr defaultColWidth="9.140625" defaultRowHeight="15.75" x14ac:dyDescent="0.25"/>
  <cols>
    <col min="1" max="1" width="9.140625" style="392"/>
    <col min="2" max="2" width="13.28515625" style="392" bestFit="1" customWidth="1"/>
    <col min="3" max="4" width="9.140625" style="392"/>
    <col min="5" max="5" width="16" style="392" bestFit="1" customWidth="1"/>
    <col min="6" max="6" width="13.28515625" style="392" bestFit="1" customWidth="1"/>
    <col min="7" max="7" width="16.140625" style="392" customWidth="1"/>
    <col min="8" max="8" width="90.140625" style="392" bestFit="1" customWidth="1"/>
    <col min="9" max="16384" width="9.140625" style="392"/>
  </cols>
  <sheetData>
    <row r="1" spans="1:8" ht="16.5" thickBot="1" x14ac:dyDescent="0.3">
      <c r="A1" s="422" t="s">
        <v>0</v>
      </c>
      <c r="B1" s="423" t="s">
        <v>10</v>
      </c>
      <c r="C1" s="423" t="s">
        <v>11</v>
      </c>
      <c r="D1" s="423" t="s">
        <v>12</v>
      </c>
      <c r="E1" s="423" t="s">
        <v>13</v>
      </c>
      <c r="F1" s="423" t="s">
        <v>14</v>
      </c>
      <c r="G1" s="424" t="s">
        <v>15</v>
      </c>
      <c r="H1" s="477" t="s">
        <v>1025</v>
      </c>
    </row>
    <row r="2" spans="1:8" x14ac:dyDescent="0.25">
      <c r="A2" s="392" t="str">
        <f>'CASE INPUTS'!$B$10</f>
        <v>westrmt</v>
      </c>
      <c r="B2" s="400">
        <f>'CASE INPUTS'!$B$8</f>
        <v>46199</v>
      </c>
      <c r="C2" s="392" t="s">
        <v>16</v>
      </c>
      <c r="D2" s="404">
        <f>DATA!A413</f>
        <v>2026</v>
      </c>
      <c r="E2" s="411">
        <f>DATA!C413</f>
        <v>0</v>
      </c>
      <c r="F2" s="411">
        <f>DATA!I413</f>
        <v>0</v>
      </c>
      <c r="G2" s="411">
        <f>DATA!F413</f>
        <v>0</v>
      </c>
      <c r="H2" s="475" t="s">
        <v>995</v>
      </c>
    </row>
    <row r="3" spans="1:8" x14ac:dyDescent="0.25">
      <c r="A3" s="392" t="str">
        <f>'CASE INPUTS'!$B$10</f>
        <v>westrmt</v>
      </c>
      <c r="B3" s="400">
        <f>'CASE INPUTS'!$B$8</f>
        <v>46199</v>
      </c>
      <c r="C3" s="392" t="s">
        <v>16</v>
      </c>
      <c r="D3" s="404">
        <f>DATA!A414</f>
        <v>2027</v>
      </c>
      <c r="E3" s="411">
        <f>DATA!C414</f>
        <v>-5832</v>
      </c>
      <c r="F3" s="411">
        <f>DATA!I414</f>
        <v>0</v>
      </c>
      <c r="G3" s="411">
        <f>DATA!F414</f>
        <v>0</v>
      </c>
      <c r="H3" s="475" t="s">
        <v>1026</v>
      </c>
    </row>
    <row r="4" spans="1:8" x14ac:dyDescent="0.25">
      <c r="A4" s="392" t="str">
        <f>'CASE INPUTS'!$B$10</f>
        <v>westrmt</v>
      </c>
      <c r="B4" s="400">
        <f>'CASE INPUTS'!$B$8</f>
        <v>46199</v>
      </c>
      <c r="C4" s="392" t="s">
        <v>16</v>
      </c>
      <c r="D4" s="404">
        <f>DATA!A415</f>
        <v>2028</v>
      </c>
      <c r="E4" s="411">
        <f>DATA!C415</f>
        <v>-9865917</v>
      </c>
      <c r="F4" s="411">
        <f>DATA!I415</f>
        <v>0</v>
      </c>
      <c r="G4" s="411">
        <f>DATA!F415</f>
        <v>0</v>
      </c>
    </row>
    <row r="5" spans="1:8" x14ac:dyDescent="0.25">
      <c r="A5" s="392" t="str">
        <f>'CASE INPUTS'!$B$10</f>
        <v>westrmt</v>
      </c>
      <c r="B5" s="400">
        <f>'CASE INPUTS'!$B$8</f>
        <v>46199</v>
      </c>
      <c r="C5" s="392" t="s">
        <v>16</v>
      </c>
      <c r="D5" s="404">
        <f>DATA!A416</f>
        <v>2029</v>
      </c>
      <c r="E5" s="411">
        <f>DATA!C416</f>
        <v>-2910888</v>
      </c>
      <c r="F5" s="411">
        <f>DATA!I416</f>
        <v>0</v>
      </c>
      <c r="G5" s="411">
        <f>DATA!F416</f>
        <v>1766823</v>
      </c>
    </row>
    <row r="6" spans="1:8" x14ac:dyDescent="0.25">
      <c r="A6" s="392" t="str">
        <f>'CASE INPUTS'!$B$10</f>
        <v>westrmt</v>
      </c>
      <c r="B6" s="400">
        <f>'CASE INPUTS'!$B$8</f>
        <v>46199</v>
      </c>
      <c r="C6" s="392" t="s">
        <v>16</v>
      </c>
      <c r="D6" s="404">
        <f>DATA!A417</f>
        <v>2030</v>
      </c>
      <c r="E6" s="411">
        <f>DATA!C417</f>
        <v>-2722713</v>
      </c>
      <c r="F6" s="411">
        <f>DATA!I417</f>
        <v>0</v>
      </c>
      <c r="G6" s="411">
        <f>DATA!F417</f>
        <v>1766823</v>
      </c>
    </row>
    <row r="7" spans="1:8" x14ac:dyDescent="0.25">
      <c r="A7" s="392" t="str">
        <f>'CASE INPUTS'!$B$10</f>
        <v>westrmt</v>
      </c>
      <c r="B7" s="400">
        <f>'CASE INPUTS'!$B$8</f>
        <v>46199</v>
      </c>
      <c r="C7" s="392" t="s">
        <v>16</v>
      </c>
      <c r="D7" s="404">
        <f>DATA!A418</f>
        <v>2031</v>
      </c>
      <c r="E7" s="411">
        <f>DATA!C418</f>
        <v>-2724027</v>
      </c>
      <c r="F7" s="411">
        <f>DATA!I418</f>
        <v>0</v>
      </c>
      <c r="G7" s="411">
        <f>DATA!F418</f>
        <v>1766823</v>
      </c>
    </row>
    <row r="8" spans="1:8" x14ac:dyDescent="0.25">
      <c r="A8" s="392" t="str">
        <f>'CASE INPUTS'!$B$10</f>
        <v>westrmt</v>
      </c>
      <c r="B8" s="400">
        <f>'CASE INPUTS'!$B$8</f>
        <v>46199</v>
      </c>
      <c r="C8" s="392" t="s">
        <v>16</v>
      </c>
      <c r="D8" s="404">
        <f>DATA!A419</f>
        <v>2032</v>
      </c>
      <c r="E8" s="411">
        <f>DATA!C419</f>
        <v>-2724881</v>
      </c>
      <c r="F8" s="411">
        <f>DATA!I419</f>
        <v>0</v>
      </c>
      <c r="G8" s="411">
        <f>DATA!F419</f>
        <v>1766823</v>
      </c>
    </row>
    <row r="9" spans="1:8" x14ac:dyDescent="0.25">
      <c r="A9" s="392" t="str">
        <f>'CASE INPUTS'!$B$10</f>
        <v>westrmt</v>
      </c>
      <c r="B9" s="400">
        <f>'CASE INPUTS'!$B$8</f>
        <v>46199</v>
      </c>
      <c r="C9" s="392" t="s">
        <v>16</v>
      </c>
      <c r="D9" s="404">
        <f>DATA!A420</f>
        <v>2033</v>
      </c>
      <c r="E9" s="411">
        <f>DATA!C420</f>
        <v>-2761257</v>
      </c>
      <c r="F9" s="411">
        <f>DATA!I420</f>
        <v>0</v>
      </c>
      <c r="G9" s="411">
        <f>DATA!F420</f>
        <v>1766823</v>
      </c>
    </row>
    <row r="10" spans="1:8" x14ac:dyDescent="0.25">
      <c r="A10" s="392" t="str">
        <f>'CASE INPUTS'!$B$10</f>
        <v>westrmt</v>
      </c>
      <c r="B10" s="400">
        <f>'CASE INPUTS'!$B$8</f>
        <v>46199</v>
      </c>
      <c r="C10" s="392" t="s">
        <v>16</v>
      </c>
      <c r="D10" s="404">
        <f>DATA!A421</f>
        <v>2034</v>
      </c>
      <c r="E10" s="411">
        <f>DATA!C421</f>
        <v>-2783585</v>
      </c>
      <c r="F10" s="411">
        <f>DATA!I421</f>
        <v>0</v>
      </c>
      <c r="G10" s="411">
        <f>DATA!F421</f>
        <v>1766823</v>
      </c>
    </row>
    <row r="11" spans="1:8" x14ac:dyDescent="0.25">
      <c r="A11" s="392" t="str">
        <f>'CASE INPUTS'!$B$10</f>
        <v>westrmt</v>
      </c>
      <c r="B11" s="400">
        <f>'CASE INPUTS'!$B$8</f>
        <v>46199</v>
      </c>
      <c r="C11" s="392" t="s">
        <v>16</v>
      </c>
      <c r="D11" s="404">
        <f>DATA!A422</f>
        <v>2035</v>
      </c>
      <c r="E11" s="411">
        <f>DATA!C422</f>
        <v>-2898325</v>
      </c>
      <c r="F11" s="411">
        <f>DATA!I422</f>
        <v>0</v>
      </c>
      <c r="G11" s="411">
        <f>DATA!F422</f>
        <v>1766823</v>
      </c>
    </row>
    <row r="12" spans="1:8" x14ac:dyDescent="0.25">
      <c r="A12" s="392" t="str">
        <f>'CASE INPUTS'!$B$10</f>
        <v>westrmt</v>
      </c>
      <c r="B12" s="400">
        <f>'CASE INPUTS'!$B$8</f>
        <v>46199</v>
      </c>
      <c r="C12" s="392" t="s">
        <v>16</v>
      </c>
      <c r="D12" s="404">
        <f>DATA!A423</f>
        <v>2036</v>
      </c>
      <c r="E12" s="411">
        <f>DATA!C423</f>
        <v>-2946673</v>
      </c>
      <c r="F12" s="411">
        <f>DATA!I423</f>
        <v>0</v>
      </c>
      <c r="G12" s="411">
        <f>DATA!F423</f>
        <v>1766823</v>
      </c>
    </row>
    <row r="13" spans="1:8" x14ac:dyDescent="0.25">
      <c r="A13" s="392" t="str">
        <f>'CASE INPUTS'!$B$10</f>
        <v>westrmt</v>
      </c>
      <c r="B13" s="400">
        <f>'CASE INPUTS'!$B$8</f>
        <v>46199</v>
      </c>
      <c r="C13" s="392" t="s">
        <v>16</v>
      </c>
      <c r="D13" s="404">
        <f>DATA!A424</f>
        <v>2037</v>
      </c>
      <c r="E13" s="411">
        <f>DATA!C424</f>
        <v>-2977828</v>
      </c>
      <c r="F13" s="411">
        <f>DATA!I424</f>
        <v>0</v>
      </c>
      <c r="G13" s="411">
        <f>DATA!F424</f>
        <v>1766823</v>
      </c>
    </row>
    <row r="14" spans="1:8" x14ac:dyDescent="0.25">
      <c r="A14" s="392" t="str">
        <f>'CASE INPUTS'!$B$10</f>
        <v>westrmt</v>
      </c>
      <c r="B14" s="400">
        <f>'CASE INPUTS'!$B$8</f>
        <v>46199</v>
      </c>
      <c r="C14" s="392" t="s">
        <v>16</v>
      </c>
      <c r="D14" s="404">
        <f>DATA!A425</f>
        <v>2038</v>
      </c>
      <c r="E14" s="411">
        <f>DATA!C425</f>
        <v>-3047890</v>
      </c>
      <c r="F14" s="411">
        <f>DATA!I425</f>
        <v>0</v>
      </c>
      <c r="G14" s="411">
        <f>DATA!F425</f>
        <v>1766823</v>
      </c>
    </row>
    <row r="15" spans="1:8" x14ac:dyDescent="0.25">
      <c r="A15" s="392" t="str">
        <f>'CASE INPUTS'!$B$10</f>
        <v>westrmt</v>
      </c>
      <c r="B15" s="400">
        <f>'CASE INPUTS'!$B$8</f>
        <v>46199</v>
      </c>
      <c r="C15" s="392" t="s">
        <v>16</v>
      </c>
      <c r="D15" s="404">
        <f>DATA!A426</f>
        <v>2039</v>
      </c>
      <c r="E15" s="411">
        <f>DATA!C426</f>
        <v>-3101259</v>
      </c>
      <c r="F15" s="411">
        <f>DATA!I426</f>
        <v>0</v>
      </c>
      <c r="G15" s="411">
        <f>DATA!F426</f>
        <v>0</v>
      </c>
    </row>
    <row r="16" spans="1:8" x14ac:dyDescent="0.25">
      <c r="A16" s="392" t="str">
        <f>'CASE INPUTS'!$B$10</f>
        <v>westrmt</v>
      </c>
      <c r="B16" s="400">
        <f>'CASE INPUTS'!$B$8</f>
        <v>46199</v>
      </c>
      <c r="C16" s="392" t="s">
        <v>16</v>
      </c>
      <c r="D16" s="404">
        <f>DATA!A427</f>
        <v>2040</v>
      </c>
      <c r="E16" s="411">
        <f>DATA!C427</f>
        <v>-3106558</v>
      </c>
      <c r="F16" s="411">
        <f>DATA!I427</f>
        <v>0</v>
      </c>
      <c r="G16" s="411">
        <f>DATA!F427</f>
        <v>0</v>
      </c>
    </row>
    <row r="17" spans="1:8" x14ac:dyDescent="0.25">
      <c r="A17" s="392" t="str">
        <f>'CASE INPUTS'!$B$10</f>
        <v>westrmt</v>
      </c>
      <c r="B17" s="400">
        <f>'CASE INPUTS'!$B$8</f>
        <v>46199</v>
      </c>
      <c r="C17" s="392" t="s">
        <v>16</v>
      </c>
      <c r="D17" s="404">
        <f>DATA!A428</f>
        <v>2041</v>
      </c>
      <c r="E17" s="411">
        <f>DATA!C428</f>
        <v>-3125737</v>
      </c>
      <c r="F17" s="411">
        <f>DATA!I428</f>
        <v>0</v>
      </c>
      <c r="G17" s="411">
        <f>DATA!F428</f>
        <v>0</v>
      </c>
    </row>
    <row r="18" spans="1:8" x14ac:dyDescent="0.25">
      <c r="A18" s="392" t="str">
        <f>'CASE INPUTS'!$B$10</f>
        <v>westrmt</v>
      </c>
      <c r="B18" s="400">
        <f>'CASE INPUTS'!$B$8</f>
        <v>46199</v>
      </c>
      <c r="C18" s="392" t="s">
        <v>16</v>
      </c>
      <c r="D18" s="404">
        <f>DATA!A429</f>
        <v>2042</v>
      </c>
      <c r="E18" s="411">
        <f>DATA!C429</f>
        <v>-3164952</v>
      </c>
      <c r="F18" s="411">
        <f>DATA!I429</f>
        <v>0</v>
      </c>
      <c r="G18" s="411">
        <f>DATA!F429</f>
        <v>0</v>
      </c>
    </row>
    <row r="19" spans="1:8" x14ac:dyDescent="0.25">
      <c r="A19" s="392" t="str">
        <f>'CASE INPUTS'!$B$10</f>
        <v>westrmt</v>
      </c>
      <c r="B19" s="400">
        <f>'CASE INPUTS'!$B$8</f>
        <v>46199</v>
      </c>
      <c r="C19" s="392" t="s">
        <v>16</v>
      </c>
      <c r="D19" s="404">
        <f>DATA!A430</f>
        <v>2043</v>
      </c>
      <c r="E19" s="411">
        <f>DATA!C430</f>
        <v>-3225663</v>
      </c>
      <c r="F19" s="411">
        <f>DATA!I430</f>
        <v>0</v>
      </c>
      <c r="G19" s="411">
        <f>DATA!F430</f>
        <v>0</v>
      </c>
    </row>
    <row r="20" spans="1:8" x14ac:dyDescent="0.25">
      <c r="A20" s="392" t="str">
        <f>'CASE INPUTS'!$B$10</f>
        <v>westrmt</v>
      </c>
      <c r="B20" s="400">
        <f>'CASE INPUTS'!$B$8</f>
        <v>46199</v>
      </c>
      <c r="C20" s="392" t="s">
        <v>16</v>
      </c>
      <c r="D20" s="404">
        <f>DATA!A431</f>
        <v>2044</v>
      </c>
      <c r="E20" s="411">
        <f>DATA!C431</f>
        <v>0</v>
      </c>
      <c r="F20" s="411">
        <f>DATA!I431</f>
        <v>0</v>
      </c>
      <c r="G20" s="411">
        <f>DATA!F431</f>
        <v>0</v>
      </c>
      <c r="H20" s="475" t="s">
        <v>1024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975042-5DA2-4D78-A942-BD5822C7E114}">
  <dimension ref="A1:W54"/>
  <sheetViews>
    <sheetView zoomScaleNormal="100" workbookViewId="0">
      <selection activeCell="I8" sqref="I8"/>
    </sheetView>
  </sheetViews>
  <sheetFormatPr defaultColWidth="9.140625" defaultRowHeight="15.75" x14ac:dyDescent="0.25"/>
  <cols>
    <col min="1" max="1" width="46.7109375" style="392" customWidth="1"/>
    <col min="2" max="2" width="11.28515625" style="392" bestFit="1" customWidth="1"/>
    <col min="3" max="5" width="9.140625" style="392"/>
    <col min="6" max="6" width="11.5703125" style="392" customWidth="1"/>
    <col min="7" max="13" width="9.140625" style="392"/>
    <col min="14" max="14" width="18.28515625" style="392" customWidth="1"/>
    <col min="15" max="22" width="9.140625" style="392"/>
    <col min="23" max="23" width="255.7109375" style="392" bestFit="1" customWidth="1"/>
    <col min="24" max="16384" width="9.140625" style="392"/>
  </cols>
  <sheetData>
    <row r="1" spans="1:23" x14ac:dyDescent="0.25">
      <c r="A1" s="577" t="s">
        <v>695</v>
      </c>
      <c r="B1" s="577"/>
      <c r="C1" s="577"/>
      <c r="D1" s="577"/>
      <c r="E1" s="577"/>
      <c r="F1" s="577"/>
      <c r="G1" s="512"/>
      <c r="H1" s="512"/>
      <c r="I1" s="512"/>
      <c r="J1" s="512"/>
      <c r="K1" s="512"/>
      <c r="L1" s="512"/>
      <c r="M1" s="512"/>
      <c r="N1" s="512"/>
      <c r="O1" s="577" t="s">
        <v>1060</v>
      </c>
      <c r="P1" s="577"/>
      <c r="Q1" s="577"/>
      <c r="R1" s="577"/>
      <c r="S1" s="577"/>
      <c r="T1" s="577"/>
      <c r="U1" s="577"/>
    </row>
    <row r="2" spans="1:23" x14ac:dyDescent="0.25">
      <c r="G2" s="513"/>
      <c r="H2" s="513"/>
      <c r="K2" s="512"/>
      <c r="L2" s="512"/>
      <c r="M2" s="512"/>
      <c r="N2" s="512"/>
      <c r="O2" s="512"/>
      <c r="P2" s="512"/>
      <c r="Q2" s="512"/>
      <c r="R2" s="512"/>
      <c r="S2" s="512"/>
      <c r="T2" s="512"/>
      <c r="U2" s="512"/>
      <c r="W2" s="507" t="s">
        <v>1069</v>
      </c>
    </row>
    <row r="3" spans="1:23" x14ac:dyDescent="0.25">
      <c r="A3" s="396"/>
      <c r="B3" s="396"/>
      <c r="C3" s="396"/>
      <c r="D3" s="396"/>
      <c r="E3" s="396"/>
      <c r="F3" s="396"/>
      <c r="G3" s="396"/>
      <c r="H3" s="396"/>
      <c r="I3" s="396"/>
      <c r="J3" s="396"/>
      <c r="K3" s="396"/>
      <c r="L3" s="396"/>
      <c r="M3" s="396"/>
      <c r="N3" s="396"/>
      <c r="O3" s="396"/>
      <c r="P3" s="396"/>
      <c r="Q3" s="396"/>
      <c r="R3" s="396"/>
      <c r="S3" s="396"/>
      <c r="T3" s="396"/>
      <c r="U3" s="396"/>
      <c r="W3" s="392" t="s">
        <v>1071</v>
      </c>
    </row>
    <row r="4" spans="1:23" x14ac:dyDescent="0.25">
      <c r="A4" s="396"/>
      <c r="B4" s="396"/>
      <c r="C4" s="396"/>
      <c r="D4" s="396"/>
      <c r="E4" s="396"/>
      <c r="F4" s="396"/>
      <c r="G4" s="396"/>
      <c r="H4" s="396"/>
      <c r="I4" s="396"/>
      <c r="J4" s="396"/>
      <c r="K4" s="396"/>
      <c r="L4" s="396"/>
      <c r="M4" s="396"/>
      <c r="N4" s="396"/>
      <c r="O4" s="396"/>
      <c r="P4" s="396"/>
      <c r="Q4" s="396"/>
      <c r="R4" s="396"/>
      <c r="S4" s="396"/>
      <c r="T4" s="396"/>
      <c r="U4" s="396"/>
    </row>
    <row r="5" spans="1:23" x14ac:dyDescent="0.25">
      <c r="A5" s="396"/>
      <c r="B5" s="396"/>
      <c r="C5" s="396"/>
      <c r="D5" s="396"/>
      <c r="E5" s="396"/>
      <c r="F5" s="396"/>
      <c r="G5" s="396"/>
      <c r="H5" s="396"/>
      <c r="I5" s="396"/>
      <c r="J5" s="396"/>
      <c r="K5" s="396"/>
      <c r="L5" s="396"/>
      <c r="M5" s="396"/>
      <c r="N5" s="396"/>
      <c r="O5" s="396"/>
      <c r="P5" s="396"/>
      <c r="Q5" s="396"/>
      <c r="R5" s="396"/>
      <c r="S5" s="396"/>
      <c r="T5" s="396"/>
      <c r="U5" s="396"/>
      <c r="W5" s="507" t="s">
        <v>1070</v>
      </c>
    </row>
    <row r="6" spans="1:23" x14ac:dyDescent="0.25">
      <c r="A6" s="396"/>
      <c r="B6" s="396"/>
      <c r="C6" s="396"/>
      <c r="D6" s="396"/>
      <c r="E6" s="396"/>
      <c r="F6" s="396"/>
      <c r="G6" s="396"/>
      <c r="H6" s="396"/>
      <c r="I6" s="396"/>
      <c r="J6" s="396"/>
      <c r="K6" s="396"/>
      <c r="L6" s="396"/>
      <c r="M6" s="396"/>
      <c r="N6" s="396"/>
      <c r="O6" s="396"/>
      <c r="P6" s="396"/>
      <c r="Q6" s="396"/>
      <c r="R6" s="396"/>
      <c r="S6" s="396"/>
      <c r="T6" s="396"/>
      <c r="U6" s="396"/>
      <c r="W6" s="392" t="s">
        <v>1066</v>
      </c>
    </row>
    <row r="7" spans="1:23" x14ac:dyDescent="0.25">
      <c r="A7" s="396"/>
      <c r="B7" s="396"/>
      <c r="C7" s="396"/>
      <c r="D7" s="396"/>
      <c r="E7" s="396"/>
      <c r="F7" s="396"/>
      <c r="G7" s="396"/>
      <c r="H7" s="396"/>
      <c r="I7" s="396"/>
      <c r="J7" s="396"/>
      <c r="K7" s="396"/>
      <c r="L7" s="396"/>
      <c r="M7" s="396"/>
      <c r="N7" s="396"/>
      <c r="O7" s="396"/>
      <c r="P7" s="396"/>
      <c r="Q7" s="396"/>
      <c r="R7" s="396"/>
      <c r="S7" s="396"/>
      <c r="T7" s="396"/>
      <c r="U7" s="396"/>
      <c r="W7" s="392" t="s">
        <v>1067</v>
      </c>
    </row>
    <row r="8" spans="1:23" x14ac:dyDescent="0.25">
      <c r="A8" s="396"/>
      <c r="B8" s="396"/>
      <c r="C8" s="396"/>
      <c r="D8" s="396"/>
      <c r="E8" s="396"/>
      <c r="F8" s="396"/>
      <c r="G8" s="396"/>
      <c r="H8" s="396"/>
      <c r="I8" s="396"/>
      <c r="J8" s="396"/>
      <c r="K8" s="396"/>
      <c r="L8" s="396"/>
      <c r="M8" s="396"/>
      <c r="N8" s="396"/>
      <c r="O8" s="396"/>
      <c r="P8" s="396"/>
      <c r="Q8" s="396"/>
      <c r="R8" s="396"/>
      <c r="S8" s="396"/>
      <c r="T8" s="396"/>
      <c r="U8" s="396"/>
      <c r="W8" s="392" t="s">
        <v>1072</v>
      </c>
    </row>
    <row r="9" spans="1:23" x14ac:dyDescent="0.25">
      <c r="A9" s="396"/>
      <c r="B9" s="396"/>
      <c r="C9" s="396"/>
      <c r="D9" s="396"/>
      <c r="E9" s="396"/>
      <c r="F9" s="396"/>
      <c r="G9" s="396"/>
      <c r="H9" s="396"/>
      <c r="I9" s="396"/>
      <c r="J9" s="396"/>
      <c r="K9" s="396"/>
      <c r="L9" s="396"/>
      <c r="M9" s="396"/>
      <c r="N9" s="396"/>
      <c r="O9" s="396"/>
      <c r="P9" s="396"/>
      <c r="Q9" s="396"/>
      <c r="R9" s="396"/>
      <c r="S9" s="396"/>
      <c r="T9" s="396"/>
      <c r="U9" s="396"/>
      <c r="W9" s="392" t="s">
        <v>1068</v>
      </c>
    </row>
    <row r="10" spans="1:23" x14ac:dyDescent="0.25">
      <c r="A10" s="396"/>
      <c r="B10" s="396"/>
      <c r="C10" s="396"/>
      <c r="D10" s="396"/>
      <c r="E10" s="396"/>
      <c r="F10" s="396"/>
      <c r="G10" s="396"/>
      <c r="H10" s="396"/>
      <c r="I10" s="396"/>
      <c r="J10" s="396"/>
      <c r="K10" s="396"/>
      <c r="L10" s="396"/>
      <c r="M10" s="396"/>
      <c r="N10" s="396"/>
      <c r="O10" s="396"/>
      <c r="P10" s="396"/>
      <c r="Q10" s="396"/>
      <c r="R10" s="396"/>
      <c r="S10" s="396"/>
      <c r="T10" s="396"/>
      <c r="U10" s="396"/>
    </row>
    <row r="11" spans="1:23" x14ac:dyDescent="0.25">
      <c r="A11" s="396"/>
      <c r="B11" s="396"/>
      <c r="C11" s="396"/>
      <c r="D11" s="396"/>
      <c r="E11" s="396"/>
      <c r="F11" s="396"/>
      <c r="G11" s="396"/>
      <c r="H11" s="396"/>
      <c r="I11" s="396"/>
      <c r="J11" s="396"/>
      <c r="K11" s="396"/>
      <c r="L11" s="396"/>
      <c r="M11" s="396"/>
      <c r="N11" s="396"/>
      <c r="O11" s="396"/>
      <c r="P11" s="396"/>
      <c r="Q11" s="396"/>
      <c r="R11" s="396"/>
      <c r="S11" s="396"/>
      <c r="T11" s="396"/>
      <c r="U11" s="396"/>
    </row>
    <row r="12" spans="1:23" x14ac:dyDescent="0.25">
      <c r="A12" s="396"/>
      <c r="B12" s="396"/>
      <c r="C12" s="396"/>
      <c r="D12" s="396"/>
      <c r="E12" s="396"/>
      <c r="F12" s="396"/>
      <c r="G12" s="396"/>
      <c r="H12" s="396"/>
      <c r="I12" s="396"/>
      <c r="J12" s="396"/>
      <c r="K12" s="396"/>
      <c r="L12" s="396"/>
      <c r="M12" s="396"/>
      <c r="N12" s="396"/>
      <c r="O12" s="396"/>
      <c r="P12" s="396"/>
      <c r="Q12" s="396"/>
      <c r="R12" s="396"/>
      <c r="S12" s="396"/>
      <c r="T12" s="396"/>
      <c r="U12" s="396"/>
    </row>
    <row r="13" spans="1:23" x14ac:dyDescent="0.25">
      <c r="A13" s="396"/>
      <c r="B13" s="396"/>
      <c r="C13" s="396"/>
      <c r="D13" s="396"/>
      <c r="E13" s="396"/>
      <c r="F13" s="396"/>
      <c r="G13" s="396"/>
      <c r="H13" s="396"/>
      <c r="I13" s="396"/>
      <c r="J13" s="396"/>
      <c r="K13" s="396"/>
      <c r="L13" s="396"/>
      <c r="M13" s="396"/>
      <c r="N13" s="396"/>
      <c r="O13" s="396"/>
      <c r="P13" s="396"/>
      <c r="Q13" s="396"/>
      <c r="R13" s="396"/>
      <c r="S13" s="396"/>
      <c r="T13" s="396"/>
      <c r="U13" s="396"/>
    </row>
    <row r="14" spans="1:23" x14ac:dyDescent="0.25">
      <c r="A14" s="396"/>
      <c r="B14" s="396"/>
      <c r="C14" s="396"/>
      <c r="D14" s="396"/>
      <c r="E14" s="396"/>
      <c r="F14" s="396"/>
      <c r="G14" s="396"/>
      <c r="H14" s="396"/>
      <c r="I14" s="396"/>
      <c r="J14" s="396"/>
      <c r="K14" s="396"/>
      <c r="L14" s="396"/>
      <c r="M14" s="396"/>
      <c r="N14" s="396"/>
      <c r="O14" s="396"/>
      <c r="P14" s="396"/>
      <c r="Q14" s="396"/>
      <c r="R14" s="396"/>
      <c r="S14" s="396"/>
      <c r="T14" s="396"/>
      <c r="U14" s="396"/>
    </row>
    <row r="15" spans="1:23" x14ac:dyDescent="0.25">
      <c r="A15" s="396"/>
      <c r="B15" s="396"/>
      <c r="C15" s="396"/>
      <c r="D15" s="396"/>
      <c r="E15" s="396"/>
      <c r="F15" s="396"/>
      <c r="G15" s="396"/>
      <c r="H15" s="396"/>
      <c r="I15" s="396"/>
      <c r="J15" s="396"/>
      <c r="K15" s="396"/>
      <c r="L15" s="396"/>
      <c r="M15" s="396"/>
      <c r="N15" s="396"/>
      <c r="O15" s="396"/>
      <c r="P15" s="396"/>
      <c r="Q15" s="396"/>
      <c r="R15" s="396"/>
      <c r="S15" s="396"/>
      <c r="T15" s="396"/>
      <c r="U15" s="396"/>
    </row>
    <row r="16" spans="1:23" x14ac:dyDescent="0.25">
      <c r="A16" s="396"/>
      <c r="B16" s="396"/>
      <c r="C16" s="396"/>
      <c r="D16" s="396"/>
      <c r="E16" s="396"/>
      <c r="F16" s="396"/>
      <c r="G16" s="396"/>
      <c r="H16" s="396"/>
      <c r="I16" s="396"/>
      <c r="J16" s="396"/>
      <c r="K16" s="396"/>
      <c r="L16" s="396"/>
      <c r="M16" s="396"/>
      <c r="N16" s="396"/>
      <c r="O16" s="396"/>
      <c r="P16" s="396"/>
      <c r="Q16" s="396"/>
      <c r="R16" s="396"/>
      <c r="S16" s="396"/>
      <c r="T16" s="396"/>
      <c r="U16" s="396"/>
    </row>
    <row r="17" spans="1:21" x14ac:dyDescent="0.25">
      <c r="A17" s="396"/>
      <c r="B17" s="396"/>
      <c r="C17" s="396"/>
      <c r="D17" s="396"/>
      <c r="E17" s="396"/>
      <c r="F17" s="396"/>
      <c r="G17" s="396"/>
      <c r="H17" s="396"/>
      <c r="I17" s="396"/>
      <c r="J17" s="396"/>
      <c r="K17" s="396"/>
      <c r="L17" s="396"/>
      <c r="M17" s="396"/>
      <c r="N17" s="396"/>
      <c r="O17" s="396"/>
      <c r="P17" s="396"/>
      <c r="Q17" s="396"/>
      <c r="R17" s="396"/>
      <c r="S17" s="396"/>
      <c r="T17" s="396"/>
      <c r="U17" s="396"/>
    </row>
    <row r="18" spans="1:21" x14ac:dyDescent="0.25">
      <c r="A18" s="396"/>
      <c r="B18" s="396"/>
      <c r="C18" s="396"/>
      <c r="D18" s="396"/>
      <c r="E18" s="396"/>
      <c r="F18" s="396"/>
      <c r="G18" s="396"/>
      <c r="H18" s="396"/>
      <c r="I18" s="396"/>
      <c r="J18" s="396"/>
      <c r="K18" s="396"/>
      <c r="L18" s="396"/>
      <c r="M18" s="396"/>
      <c r="N18" s="396"/>
      <c r="O18" s="396"/>
      <c r="P18" s="396"/>
      <c r="Q18" s="396"/>
      <c r="R18" s="396"/>
      <c r="S18" s="396"/>
      <c r="T18" s="396"/>
      <c r="U18" s="396"/>
    </row>
    <row r="19" spans="1:21" x14ac:dyDescent="0.25">
      <c r="A19" s="396"/>
      <c r="B19" s="396"/>
      <c r="C19" s="396"/>
      <c r="D19" s="396"/>
      <c r="E19" s="396"/>
      <c r="F19" s="396"/>
      <c r="G19" s="396"/>
      <c r="H19" s="396"/>
      <c r="I19" s="396"/>
      <c r="J19" s="396"/>
      <c r="K19" s="396"/>
      <c r="L19" s="396"/>
      <c r="M19" s="396"/>
      <c r="N19" s="396"/>
      <c r="O19" s="396"/>
      <c r="P19" s="396"/>
      <c r="Q19" s="396"/>
      <c r="R19" s="396"/>
      <c r="S19" s="396"/>
      <c r="T19" s="396"/>
      <c r="U19" s="396"/>
    </row>
    <row r="20" spans="1:21" x14ac:dyDescent="0.25">
      <c r="A20" s="396"/>
      <c r="B20" s="396"/>
      <c r="C20" s="396"/>
      <c r="D20" s="396"/>
      <c r="E20" s="396"/>
      <c r="F20" s="396"/>
      <c r="G20" s="396"/>
      <c r="H20" s="396"/>
      <c r="I20" s="396"/>
      <c r="J20" s="396"/>
      <c r="K20" s="396"/>
      <c r="L20" s="396"/>
      <c r="M20" s="396"/>
      <c r="N20" s="396"/>
      <c r="O20" s="396"/>
      <c r="P20" s="396"/>
      <c r="Q20" s="396"/>
      <c r="R20" s="396"/>
      <c r="S20" s="396"/>
      <c r="T20" s="396"/>
      <c r="U20" s="396"/>
    </row>
    <row r="21" spans="1:21" x14ac:dyDescent="0.25">
      <c r="A21" s="396"/>
      <c r="B21" s="396"/>
      <c r="C21" s="396"/>
      <c r="D21" s="396"/>
      <c r="E21" s="396"/>
      <c r="F21" s="396"/>
      <c r="G21" s="396"/>
      <c r="H21" s="396"/>
      <c r="I21" s="396"/>
      <c r="J21" s="396"/>
      <c r="K21" s="396"/>
      <c r="L21" s="396"/>
      <c r="M21" s="396"/>
      <c r="N21" s="396"/>
      <c r="O21" s="396"/>
      <c r="P21" s="396"/>
      <c r="Q21" s="396"/>
      <c r="R21" s="396"/>
      <c r="S21" s="396"/>
      <c r="T21" s="396"/>
      <c r="U21" s="396"/>
    </row>
    <row r="22" spans="1:21" x14ac:dyDescent="0.25">
      <c r="A22" s="396"/>
      <c r="B22" s="396"/>
      <c r="C22" s="396"/>
      <c r="D22" s="396"/>
      <c r="E22" s="396"/>
      <c r="F22" s="396"/>
      <c r="G22" s="396"/>
      <c r="H22" s="396"/>
      <c r="I22" s="396"/>
      <c r="J22" s="396"/>
      <c r="K22" s="396"/>
      <c r="L22" s="396"/>
      <c r="M22" s="396"/>
      <c r="N22" s="396"/>
      <c r="O22" s="396"/>
      <c r="P22" s="396"/>
      <c r="Q22" s="396"/>
      <c r="R22" s="396"/>
      <c r="S22" s="396"/>
      <c r="T22" s="396"/>
      <c r="U22" s="396"/>
    </row>
    <row r="23" spans="1:21" x14ac:dyDescent="0.25">
      <c r="A23" s="396"/>
      <c r="B23" s="396"/>
      <c r="C23" s="396"/>
      <c r="D23" s="396"/>
      <c r="E23" s="396"/>
      <c r="F23" s="396"/>
      <c r="G23" s="396"/>
      <c r="H23" s="396"/>
      <c r="I23" s="396"/>
      <c r="J23" s="396"/>
      <c r="K23" s="396"/>
      <c r="L23" s="396"/>
      <c r="M23" s="396"/>
      <c r="N23" s="396"/>
      <c r="O23" s="396"/>
      <c r="P23" s="396"/>
      <c r="Q23" s="396"/>
      <c r="R23" s="396"/>
      <c r="S23" s="396"/>
      <c r="T23" s="396"/>
      <c r="U23" s="396"/>
    </row>
    <row r="24" spans="1:21" x14ac:dyDescent="0.25">
      <c r="A24" s="396"/>
      <c r="B24" s="396"/>
      <c r="C24" s="396"/>
      <c r="D24" s="396"/>
      <c r="E24" s="396"/>
      <c r="F24" s="396"/>
      <c r="G24" s="396"/>
      <c r="H24" s="396"/>
      <c r="I24" s="396"/>
      <c r="J24" s="396"/>
      <c r="K24" s="396"/>
      <c r="L24" s="396"/>
      <c r="M24" s="396"/>
      <c r="N24" s="396"/>
      <c r="O24" s="396"/>
      <c r="P24" s="396"/>
      <c r="Q24" s="396"/>
      <c r="R24" s="396"/>
      <c r="S24" s="396"/>
      <c r="T24" s="396"/>
      <c r="U24" s="396"/>
    </row>
    <row r="25" spans="1:21" x14ac:dyDescent="0.25">
      <c r="A25" s="396"/>
      <c r="B25" s="396"/>
      <c r="C25" s="396"/>
      <c r="D25" s="396"/>
      <c r="E25" s="396"/>
      <c r="F25" s="396"/>
      <c r="G25" s="396"/>
      <c r="H25" s="396"/>
      <c r="I25" s="396"/>
      <c r="J25" s="396"/>
      <c r="K25" s="396"/>
      <c r="L25" s="396"/>
      <c r="M25" s="396"/>
      <c r="N25" s="396"/>
      <c r="O25" s="396"/>
      <c r="P25" s="396"/>
      <c r="Q25" s="396"/>
      <c r="R25" s="396"/>
      <c r="S25" s="396"/>
      <c r="T25" s="396"/>
      <c r="U25" s="396"/>
    </row>
    <row r="26" spans="1:21" x14ac:dyDescent="0.25">
      <c r="A26" s="396"/>
      <c r="B26" s="396"/>
      <c r="C26" s="396"/>
      <c r="D26" s="396"/>
      <c r="E26" s="396"/>
      <c r="F26" s="396"/>
      <c r="G26" s="396"/>
      <c r="H26" s="396"/>
      <c r="I26" s="396"/>
      <c r="J26" s="396"/>
      <c r="K26" s="396"/>
      <c r="L26" s="396"/>
      <c r="M26" s="396"/>
      <c r="N26" s="396"/>
      <c r="O26" s="396"/>
      <c r="P26" s="396"/>
      <c r="Q26" s="396"/>
      <c r="R26" s="396"/>
      <c r="S26" s="396"/>
      <c r="T26" s="396"/>
      <c r="U26" s="396"/>
    </row>
    <row r="27" spans="1:21" x14ac:dyDescent="0.25">
      <c r="A27" s="501" t="s">
        <v>720</v>
      </c>
      <c r="B27" s="501"/>
      <c r="C27" s="501"/>
      <c r="D27" s="501"/>
      <c r="E27" s="501"/>
      <c r="F27" s="501"/>
      <c r="G27" s="501"/>
      <c r="H27" s="396"/>
      <c r="I27" s="396"/>
      <c r="J27" s="396"/>
      <c r="K27" s="396"/>
      <c r="L27" s="396"/>
      <c r="M27" s="396"/>
      <c r="N27" s="396"/>
      <c r="O27" s="396"/>
      <c r="P27" s="396"/>
      <c r="Q27" s="396"/>
      <c r="R27" s="396"/>
      <c r="S27" s="396"/>
      <c r="T27" s="396"/>
      <c r="U27" s="396"/>
    </row>
    <row r="28" spans="1:21" ht="18.75" customHeight="1" x14ac:dyDescent="0.25">
      <c r="A28" s="501" t="s">
        <v>721</v>
      </c>
      <c r="B28" s="501"/>
      <c r="C28" s="501"/>
      <c r="D28" s="501"/>
      <c r="E28" s="501"/>
      <c r="F28" s="501"/>
      <c r="G28" s="501"/>
      <c r="H28" s="396"/>
      <c r="I28" s="396"/>
      <c r="J28" s="396"/>
      <c r="K28" s="396"/>
      <c r="L28" s="396"/>
      <c r="M28" s="396"/>
      <c r="N28" s="396"/>
      <c r="O28" s="396"/>
      <c r="P28" s="396"/>
      <c r="Q28" s="396"/>
      <c r="R28" s="396"/>
      <c r="S28" s="396"/>
      <c r="T28" s="396"/>
      <c r="U28" s="396"/>
    </row>
    <row r="29" spans="1:21" x14ac:dyDescent="0.25">
      <c r="A29" s="501" t="s">
        <v>722</v>
      </c>
      <c r="B29" s="501"/>
      <c r="C29" s="501"/>
      <c r="D29" s="501"/>
      <c r="E29" s="501"/>
      <c r="F29" s="501"/>
      <c r="G29" s="501"/>
      <c r="H29" s="396"/>
      <c r="I29" s="396"/>
      <c r="J29" s="396"/>
      <c r="K29" s="396"/>
      <c r="L29" s="396"/>
      <c r="M29" s="396"/>
      <c r="N29" s="396"/>
      <c r="O29" s="396"/>
      <c r="P29" s="396"/>
      <c r="Q29" s="396"/>
      <c r="R29" s="396"/>
      <c r="S29" s="396"/>
      <c r="T29" s="396"/>
      <c r="U29" s="396"/>
    </row>
    <row r="30" spans="1:21" x14ac:dyDescent="0.25">
      <c r="A30" s="396"/>
      <c r="B30" s="396"/>
      <c r="C30" s="396"/>
      <c r="D30" s="396"/>
      <c r="E30" s="396"/>
      <c r="F30" s="396"/>
      <c r="G30" s="396"/>
      <c r="H30" s="396"/>
      <c r="I30" s="396"/>
      <c r="J30" s="396"/>
      <c r="K30" s="396"/>
      <c r="L30" s="396"/>
      <c r="M30" s="396"/>
      <c r="N30" s="396"/>
      <c r="O30" s="396"/>
      <c r="P30" s="396"/>
      <c r="Q30" s="396"/>
      <c r="R30" s="396"/>
      <c r="S30" s="396"/>
      <c r="T30" s="396"/>
      <c r="U30" s="396"/>
    </row>
    <row r="31" spans="1:21" x14ac:dyDescent="0.25">
      <c r="A31" s="501" t="s">
        <v>723</v>
      </c>
      <c r="B31" s="514"/>
      <c r="C31" s="514"/>
      <c r="D31" s="514"/>
      <c r="E31" s="514"/>
      <c r="F31" s="514"/>
      <c r="G31" s="514"/>
      <c r="H31" s="396"/>
      <c r="I31" s="396"/>
      <c r="J31" s="396"/>
      <c r="K31" s="396"/>
      <c r="L31" s="396"/>
      <c r="M31" s="396"/>
      <c r="N31" s="396"/>
      <c r="O31" s="396"/>
      <c r="P31" s="396"/>
      <c r="Q31" s="396"/>
      <c r="R31" s="396"/>
      <c r="S31" s="396"/>
      <c r="T31" s="396"/>
      <c r="U31" s="396"/>
    </row>
    <row r="32" spans="1:21" x14ac:dyDescent="0.25">
      <c r="A32" s="501" t="s">
        <v>724</v>
      </c>
      <c r="B32" s="514"/>
      <c r="C32" s="514"/>
      <c r="D32" s="514"/>
      <c r="E32" s="514"/>
      <c r="F32" s="514"/>
      <c r="G32" s="514"/>
      <c r="H32" s="396"/>
      <c r="I32" s="396"/>
      <c r="J32" s="396"/>
      <c r="K32" s="396"/>
      <c r="L32" s="396"/>
      <c r="M32" s="396"/>
      <c r="N32" s="396"/>
      <c r="O32" s="396"/>
      <c r="P32" s="396"/>
      <c r="Q32" s="396"/>
      <c r="R32" s="396"/>
      <c r="S32" s="396"/>
      <c r="T32" s="396"/>
      <c r="U32" s="396"/>
    </row>
    <row r="33" spans="1:21" x14ac:dyDescent="0.25">
      <c r="A33" s="515" t="s">
        <v>1062</v>
      </c>
      <c r="B33" s="516"/>
      <c r="C33" s="516"/>
      <c r="D33" s="514"/>
      <c r="E33" s="514"/>
      <c r="F33" s="514"/>
      <c r="G33" s="514"/>
      <c r="H33" s="396"/>
      <c r="I33" s="396"/>
      <c r="J33" s="396"/>
      <c r="K33" s="396"/>
      <c r="L33" s="396"/>
      <c r="M33" s="396"/>
      <c r="N33" s="396"/>
      <c r="O33" s="396"/>
      <c r="P33" s="396"/>
      <c r="Q33" s="396"/>
      <c r="R33" s="396"/>
      <c r="S33" s="396"/>
      <c r="T33" s="396"/>
      <c r="U33" s="396"/>
    </row>
    <row r="34" spans="1:21" x14ac:dyDescent="0.25">
      <c r="A34" s="515" t="s">
        <v>725</v>
      </c>
      <c r="B34" s="516"/>
      <c r="C34" s="516"/>
      <c r="D34" s="514"/>
      <c r="E34" s="514"/>
      <c r="F34" s="514"/>
      <c r="G34" s="514"/>
      <c r="H34" s="396"/>
      <c r="I34" s="396"/>
      <c r="J34" s="396"/>
      <c r="K34" s="396"/>
      <c r="L34" s="396"/>
      <c r="M34" s="396"/>
      <c r="N34" s="396"/>
      <c r="O34" s="396"/>
      <c r="P34" s="396"/>
      <c r="Q34" s="396"/>
      <c r="R34" s="396"/>
      <c r="S34" s="396"/>
      <c r="T34" s="396"/>
      <c r="U34" s="396"/>
    </row>
    <row r="35" spans="1:21" x14ac:dyDescent="0.25">
      <c r="A35" s="515" t="s">
        <v>1063</v>
      </c>
      <c r="B35" s="516"/>
      <c r="C35" s="516"/>
      <c r="D35" s="514"/>
      <c r="E35" s="514"/>
      <c r="F35" s="514"/>
      <c r="G35" s="514"/>
      <c r="H35" s="396"/>
      <c r="I35" s="396"/>
      <c r="J35" s="396"/>
      <c r="K35" s="396"/>
      <c r="L35" s="396"/>
      <c r="M35" s="396"/>
      <c r="N35" s="396"/>
      <c r="O35" s="396"/>
      <c r="P35" s="396"/>
      <c r="Q35" s="396"/>
      <c r="R35" s="396"/>
      <c r="S35" s="396"/>
      <c r="T35" s="396"/>
      <c r="U35" s="396"/>
    </row>
    <row r="36" spans="1:21" x14ac:dyDescent="0.25">
      <c r="A36" s="396"/>
      <c r="B36" s="396"/>
      <c r="C36" s="396"/>
      <c r="D36" s="396"/>
      <c r="E36" s="396"/>
      <c r="F36" s="396"/>
      <c r="G36" s="396"/>
      <c r="H36" s="396"/>
      <c r="I36" s="396"/>
      <c r="J36" s="396"/>
      <c r="K36" s="396"/>
      <c r="L36" s="396"/>
      <c r="M36" s="396"/>
      <c r="N36" s="396"/>
      <c r="O36" s="396"/>
      <c r="P36" s="396"/>
      <c r="Q36" s="396"/>
      <c r="R36" s="396"/>
      <c r="S36" s="396"/>
      <c r="T36" s="396"/>
      <c r="U36" s="396"/>
    </row>
    <row r="37" spans="1:21" x14ac:dyDescent="0.25">
      <c r="A37" s="396"/>
      <c r="B37" s="396"/>
      <c r="C37" s="396"/>
      <c r="D37" s="396"/>
      <c r="E37" s="396"/>
      <c r="F37" s="396"/>
      <c r="G37" s="396"/>
      <c r="H37" s="396"/>
      <c r="I37" s="396"/>
      <c r="J37" s="396"/>
      <c r="K37" s="396"/>
      <c r="L37" s="396"/>
      <c r="M37" s="396"/>
      <c r="N37" s="396"/>
      <c r="O37" s="396"/>
      <c r="P37" s="396"/>
      <c r="Q37" s="396"/>
      <c r="R37" s="396"/>
      <c r="S37" s="396"/>
      <c r="T37" s="396"/>
      <c r="U37" s="396"/>
    </row>
    <row r="38" spans="1:21" x14ac:dyDescent="0.25">
      <c r="A38" s="501" t="s">
        <v>726</v>
      </c>
      <c r="B38" s="501"/>
      <c r="C38" s="501"/>
      <c r="D38" s="501"/>
      <c r="E38" s="501"/>
      <c r="F38" s="501"/>
      <c r="G38" s="501" t="s">
        <v>702</v>
      </c>
      <c r="H38" s="501"/>
      <c r="I38" s="501"/>
      <c r="J38" s="501"/>
      <c r="K38" s="501"/>
      <c r="L38" s="501"/>
      <c r="M38" s="501" t="s">
        <v>727</v>
      </c>
      <c r="N38" s="501"/>
      <c r="O38" s="396"/>
      <c r="P38" s="396"/>
      <c r="Q38" s="396"/>
      <c r="R38" s="396"/>
      <c r="S38" s="396"/>
      <c r="T38" s="396"/>
      <c r="U38" s="396"/>
    </row>
    <row r="39" spans="1:21" x14ac:dyDescent="0.25">
      <c r="A39" s="501"/>
      <c r="B39" s="501"/>
      <c r="C39" s="501"/>
      <c r="D39" s="501"/>
      <c r="E39" s="501"/>
      <c r="F39" s="501"/>
      <c r="G39" s="501"/>
      <c r="H39" s="501"/>
      <c r="I39" s="501"/>
      <c r="J39" s="501"/>
      <c r="K39" s="501"/>
      <c r="L39" s="501"/>
      <c r="M39" s="501"/>
      <c r="N39" s="501"/>
      <c r="O39" s="396"/>
      <c r="P39" s="396"/>
      <c r="Q39" s="396"/>
      <c r="R39" s="396"/>
      <c r="S39" s="396"/>
      <c r="T39" s="396"/>
      <c r="U39" s="396"/>
    </row>
    <row r="40" spans="1:21" x14ac:dyDescent="0.25">
      <c r="A40" s="578" t="s">
        <v>728</v>
      </c>
      <c r="B40" s="578"/>
      <c r="C40" s="578"/>
      <c r="D40" s="578"/>
      <c r="E40" s="578"/>
      <c r="F40" s="578"/>
      <c r="G40" s="502" t="s">
        <v>0</v>
      </c>
      <c r="H40" s="503" t="s">
        <v>638</v>
      </c>
      <c r="I40" s="503" t="s">
        <v>698</v>
      </c>
      <c r="J40" s="503" t="s">
        <v>40</v>
      </c>
      <c r="K40" s="503" t="s">
        <v>699</v>
      </c>
      <c r="L40" s="504" t="s">
        <v>700</v>
      </c>
      <c r="M40" s="501" t="s">
        <v>729</v>
      </c>
      <c r="N40" s="501"/>
      <c r="O40" s="396"/>
      <c r="P40" s="396"/>
      <c r="Q40" s="396"/>
      <c r="R40" s="396"/>
      <c r="S40" s="396"/>
      <c r="T40" s="396"/>
      <c r="U40" s="396"/>
    </row>
    <row r="41" spans="1:21" x14ac:dyDescent="0.25">
      <c r="A41" s="396"/>
      <c r="B41" s="396"/>
      <c r="C41" s="396"/>
      <c r="D41" s="396"/>
      <c r="E41" s="396"/>
      <c r="F41" s="396"/>
      <c r="G41" s="396"/>
      <c r="H41" s="396"/>
      <c r="I41" s="396"/>
      <c r="J41" s="396"/>
      <c r="K41" s="396"/>
      <c r="L41" s="396"/>
      <c r="M41" s="396"/>
      <c r="N41" s="396"/>
      <c r="O41" s="396"/>
      <c r="P41" s="396"/>
      <c r="Q41" s="396"/>
      <c r="R41" s="396"/>
      <c r="S41" s="396"/>
      <c r="T41" s="396"/>
      <c r="U41" s="396"/>
    </row>
    <row r="42" spans="1:21" x14ac:dyDescent="0.25">
      <c r="A42" s="501" t="s">
        <v>1064</v>
      </c>
      <c r="B42" s="501"/>
      <c r="C42" s="501"/>
      <c r="D42" s="501"/>
      <c r="E42" s="501"/>
      <c r="F42" s="501"/>
      <c r="G42" s="501"/>
      <c r="H42" s="501"/>
      <c r="I42" s="501"/>
      <c r="J42" s="501"/>
      <c r="K42" s="501"/>
      <c r="L42" s="501"/>
      <c r="M42" s="501"/>
      <c r="N42" s="501"/>
      <c r="O42" s="396"/>
      <c r="P42" s="396"/>
      <c r="Q42" s="396"/>
      <c r="R42" s="396"/>
      <c r="S42" s="396"/>
      <c r="T42" s="396"/>
      <c r="U42" s="396"/>
    </row>
    <row r="43" spans="1:21" x14ac:dyDescent="0.25">
      <c r="A43" s="501" t="s">
        <v>1180</v>
      </c>
      <c r="B43" s="501"/>
      <c r="C43" s="501"/>
      <c r="D43" s="501"/>
      <c r="E43" s="501"/>
      <c r="F43" s="501"/>
      <c r="G43" s="501" t="s">
        <v>701</v>
      </c>
      <c r="H43" s="501"/>
      <c r="I43" s="501"/>
      <c r="J43" s="501"/>
      <c r="K43" s="501"/>
      <c r="L43" s="501"/>
      <c r="M43" s="501" t="s">
        <v>727</v>
      </c>
      <c r="N43" s="501"/>
      <c r="O43" s="396"/>
      <c r="P43" s="396"/>
      <c r="Q43" s="396"/>
      <c r="R43" s="396"/>
      <c r="S43" s="396"/>
      <c r="T43" s="396"/>
      <c r="U43" s="396"/>
    </row>
    <row r="44" spans="1:21" x14ac:dyDescent="0.25">
      <c r="A44" s="501"/>
      <c r="B44" s="501"/>
      <c r="C44" s="501"/>
      <c r="D44" s="501"/>
      <c r="E44" s="501"/>
      <c r="F44" s="501"/>
      <c r="G44" s="501" t="s">
        <v>0</v>
      </c>
      <c r="H44" s="501" t="s">
        <v>17</v>
      </c>
      <c r="I44" s="501" t="s">
        <v>696</v>
      </c>
      <c r="J44" s="501" t="s">
        <v>697</v>
      </c>
      <c r="K44" s="501"/>
      <c r="L44" s="501"/>
      <c r="M44" s="501" t="s">
        <v>729</v>
      </c>
      <c r="N44" s="501"/>
      <c r="O44" s="396"/>
      <c r="P44" s="396"/>
      <c r="Q44" s="396"/>
      <c r="R44" s="396"/>
      <c r="S44" s="396"/>
      <c r="T44" s="396"/>
      <c r="U44" s="396"/>
    </row>
    <row r="45" spans="1:21" x14ac:dyDescent="0.25">
      <c r="A45" s="396"/>
      <c r="B45" s="396"/>
      <c r="C45" s="396"/>
      <c r="D45" s="396"/>
      <c r="E45" s="396"/>
      <c r="F45" s="396"/>
      <c r="G45" s="395"/>
      <c r="H45" s="395"/>
      <c r="I45" s="395"/>
      <c r="J45" s="395"/>
      <c r="K45" s="395"/>
      <c r="L45" s="396"/>
      <c r="M45" s="396"/>
      <c r="N45" s="396"/>
      <c r="O45" s="396"/>
      <c r="P45" s="396"/>
      <c r="Q45" s="396"/>
      <c r="R45" s="396"/>
      <c r="S45" s="396"/>
      <c r="T45" s="396"/>
      <c r="U45" s="396"/>
    </row>
    <row r="46" spans="1:21" x14ac:dyDescent="0.25">
      <c r="A46" s="478" t="s">
        <v>1081</v>
      </c>
      <c r="B46" s="478"/>
      <c r="C46" s="478"/>
      <c r="D46" s="478"/>
      <c r="E46" s="478"/>
      <c r="F46" s="478"/>
      <c r="G46" s="492"/>
      <c r="H46" s="511"/>
      <c r="I46" s="511"/>
      <c r="J46" s="511"/>
      <c r="K46" s="511"/>
      <c r="L46" s="483"/>
      <c r="M46" s="483"/>
      <c r="N46" s="483"/>
      <c r="O46" s="396"/>
      <c r="P46" s="396"/>
      <c r="Q46" s="396"/>
      <c r="R46" s="396"/>
      <c r="S46" s="396"/>
      <c r="T46" s="396"/>
      <c r="U46" s="396"/>
    </row>
    <row r="47" spans="1:21" x14ac:dyDescent="0.25">
      <c r="A47" s="478" t="s">
        <v>1082</v>
      </c>
      <c r="B47" s="478"/>
      <c r="C47" s="478"/>
      <c r="D47" s="478"/>
      <c r="E47" s="478"/>
      <c r="F47" s="478"/>
      <c r="G47" s="492"/>
      <c r="H47" s="511"/>
      <c r="I47" s="511"/>
      <c r="J47" s="511"/>
      <c r="K47" s="511"/>
      <c r="L47" s="483"/>
      <c r="M47" s="483"/>
      <c r="N47" s="483"/>
      <c r="O47" s="396"/>
      <c r="P47" s="396"/>
      <c r="Q47" s="396"/>
      <c r="R47" s="396"/>
      <c r="S47" s="396"/>
      <c r="T47" s="396"/>
      <c r="U47" s="396"/>
    </row>
    <row r="48" spans="1:21" ht="14.25" customHeight="1" x14ac:dyDescent="0.25">
      <c r="A48" s="478"/>
      <c r="B48" s="478"/>
      <c r="C48" s="478"/>
      <c r="D48" s="478"/>
      <c r="E48" s="478"/>
      <c r="F48" s="478"/>
      <c r="G48" s="478"/>
      <c r="H48" s="483"/>
      <c r="I48" s="483"/>
      <c r="J48" s="483"/>
      <c r="K48" s="483"/>
      <c r="L48" s="483"/>
      <c r="M48" s="483"/>
      <c r="N48" s="483"/>
      <c r="O48" s="396"/>
      <c r="P48" s="396"/>
      <c r="Q48" s="396"/>
      <c r="R48" s="396"/>
      <c r="S48" s="396"/>
      <c r="T48" s="396"/>
      <c r="U48" s="396"/>
    </row>
    <row r="49" spans="1:21" x14ac:dyDescent="0.25">
      <c r="O49" s="396"/>
      <c r="P49" s="396"/>
      <c r="Q49" s="396"/>
      <c r="R49" s="396"/>
      <c r="S49" s="396"/>
      <c r="T49" s="396"/>
      <c r="U49" s="396"/>
    </row>
    <row r="50" spans="1:21" x14ac:dyDescent="0.25">
      <c r="O50" s="396"/>
      <c r="P50" s="396"/>
      <c r="Q50" s="396"/>
      <c r="R50" s="396"/>
      <c r="S50" s="396"/>
      <c r="T50" s="396"/>
      <c r="U50" s="396"/>
    </row>
    <row r="52" spans="1:21" x14ac:dyDescent="0.25">
      <c r="A52" s="520" t="s">
        <v>1065</v>
      </c>
      <c r="B52" s="507"/>
      <c r="C52" s="507"/>
      <c r="D52" s="507"/>
      <c r="E52" s="507"/>
      <c r="F52" s="507"/>
      <c r="G52" s="507"/>
      <c r="H52" s="507"/>
      <c r="I52" s="507"/>
      <c r="J52" s="507"/>
      <c r="K52" s="507"/>
      <c r="L52" s="507"/>
      <c r="M52" s="507"/>
      <c r="N52" s="507"/>
    </row>
    <row r="53" spans="1:21" x14ac:dyDescent="0.25">
      <c r="A53" s="517" t="s">
        <v>730</v>
      </c>
      <c r="B53" s="506"/>
      <c r="C53" s="506"/>
      <c r="D53" s="506"/>
      <c r="E53" s="506"/>
      <c r="F53" s="506"/>
      <c r="G53" s="505" t="s">
        <v>703</v>
      </c>
      <c r="H53" s="505" t="s">
        <v>704</v>
      </c>
      <c r="I53" s="505"/>
      <c r="J53" s="505"/>
      <c r="K53" s="505"/>
      <c r="L53" s="505"/>
      <c r="M53" s="505" t="s">
        <v>988</v>
      </c>
      <c r="N53" s="505"/>
    </row>
    <row r="54" spans="1:21" x14ac:dyDescent="0.25">
      <c r="A54" s="505"/>
      <c r="B54" s="505"/>
      <c r="C54" s="505"/>
      <c r="D54" s="505"/>
      <c r="E54" s="505"/>
      <c r="F54" s="505"/>
      <c r="G54" s="506" t="s">
        <v>731</v>
      </c>
      <c r="H54" s="506"/>
      <c r="I54" s="506"/>
      <c r="J54" s="506"/>
      <c r="K54" s="506"/>
      <c r="L54" s="505"/>
      <c r="M54" s="505" t="s">
        <v>1061</v>
      </c>
      <c r="N54" s="505"/>
    </row>
  </sheetData>
  <mergeCells count="3">
    <mergeCell ref="O1:U1"/>
    <mergeCell ref="A40:F40"/>
    <mergeCell ref="A1:F1"/>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52AF2C-786B-4AAF-B56B-D1CAD8CBCC24}">
  <dimension ref="A1:M9"/>
  <sheetViews>
    <sheetView topLeftCell="B1" zoomScale="70" zoomScaleNormal="70" workbookViewId="0">
      <selection activeCell="E16" sqref="E16"/>
    </sheetView>
  </sheetViews>
  <sheetFormatPr defaultColWidth="9.140625" defaultRowHeight="15.75" x14ac:dyDescent="0.25"/>
  <cols>
    <col min="1" max="1" width="80.7109375" style="392" bestFit="1" customWidth="1"/>
    <col min="2" max="2" width="141.42578125" style="392" customWidth="1"/>
    <col min="3" max="3" width="36.7109375" style="402" bestFit="1" customWidth="1"/>
    <col min="4" max="4" width="12.85546875" style="392" bestFit="1" customWidth="1"/>
    <col min="5" max="5" width="60.140625" style="392" bestFit="1" customWidth="1"/>
    <col min="6" max="6" width="11.42578125" style="392" bestFit="1" customWidth="1"/>
    <col min="7" max="7" width="13.7109375" style="392" bestFit="1" customWidth="1"/>
    <col min="8" max="8" width="9.140625" style="392"/>
    <col min="9" max="9" width="11.42578125" style="400" bestFit="1" customWidth="1"/>
    <col min="10" max="10" width="10.5703125" style="392" bestFit="1" customWidth="1"/>
    <col min="11" max="11" width="14.42578125" style="392" bestFit="1" customWidth="1"/>
    <col min="12" max="12" width="15.140625" style="392" bestFit="1" customWidth="1"/>
    <col min="13" max="16384" width="9.140625" style="392"/>
  </cols>
  <sheetData>
    <row r="1" spans="1:13" ht="16.5" thickBot="1" x14ac:dyDescent="0.3">
      <c r="A1" s="487" t="s">
        <v>1029</v>
      </c>
      <c r="B1" s="486"/>
    </row>
    <row r="2" spans="1:13" x14ac:dyDescent="0.25">
      <c r="A2" s="478" t="s">
        <v>1132</v>
      </c>
      <c r="B2" s="486"/>
    </row>
    <row r="3" spans="1:13" x14ac:dyDescent="0.25">
      <c r="A3" s="478" t="s">
        <v>1133</v>
      </c>
      <c r="B3" s="486"/>
    </row>
    <row r="4" spans="1:13" x14ac:dyDescent="0.25">
      <c r="A4" s="478" t="s">
        <v>1028</v>
      </c>
      <c r="B4" s="486"/>
    </row>
    <row r="5" spans="1:13" x14ac:dyDescent="0.25">
      <c r="A5" s="478" t="s">
        <v>1030</v>
      </c>
      <c r="B5" s="486"/>
    </row>
    <row r="6" spans="1:13" x14ac:dyDescent="0.25">
      <c r="A6" s="478" t="s">
        <v>1112</v>
      </c>
      <c r="B6" s="478"/>
      <c r="E6" s="414"/>
    </row>
    <row r="7" spans="1:13" ht="16.5" thickBot="1" x14ac:dyDescent="0.3">
      <c r="A7" s="478" t="s">
        <v>1031</v>
      </c>
      <c r="B7" s="478"/>
      <c r="E7" s="414"/>
    </row>
    <row r="8" spans="1:13" ht="16.5" thickBot="1" x14ac:dyDescent="0.3">
      <c r="A8" s="429" t="s">
        <v>0</v>
      </c>
      <c r="B8" s="478" t="s">
        <v>993</v>
      </c>
      <c r="C8" s="422" t="s">
        <v>17</v>
      </c>
      <c r="D8" s="423" t="s">
        <v>18</v>
      </c>
      <c r="E8" s="423" t="s">
        <v>19</v>
      </c>
      <c r="F8" s="423" t="s">
        <v>20</v>
      </c>
      <c r="G8" s="423" t="s">
        <v>21</v>
      </c>
      <c r="H8" s="423" t="s">
        <v>22</v>
      </c>
      <c r="I8" s="430" t="s">
        <v>23</v>
      </c>
      <c r="J8" s="423" t="s">
        <v>24</v>
      </c>
      <c r="K8" s="423" t="s">
        <v>25</v>
      </c>
      <c r="L8" s="423" t="s">
        <v>26</v>
      </c>
      <c r="M8" s="424" t="s">
        <v>27</v>
      </c>
    </row>
    <row r="9" spans="1:13" x14ac:dyDescent="0.25">
      <c r="A9" s="392" t="str">
        <f>'CASE INPUTS'!$B$10</f>
        <v>westrmt</v>
      </c>
      <c r="B9" s="392" t="str">
        <f>DATA!C501</f>
        <v>LIHTC</v>
      </c>
      <c r="C9" s="402" t="str" cm="1">
        <f t="array" ref="C9">IF(AND(B9="LIHTC",G9&gt;0),INDEX('CASE INPUTS'!$A$32:$A$41,E9+1),IF(AND(B9="Market",G9&gt;0),INDEX('CASE INPUTS'!$A$42:$A$51,E9+1),IF(AND(B9="Converted",G9&gt;0),"Converted",IF(AND(B9="Efficiency",G9&gt;0),"Efficiency",IF(AND(B9="Employee",G9&gt;0),"Employee",IF(AND(B9="Manager",G9&gt;0),"Manager",IF(AND(B9="Other",G9&gt;0),"Other","")))))))</f>
        <v>LI-Studio</v>
      </c>
      <c r="D9" s="403">
        <f>DATA!F501</f>
        <v>0.3</v>
      </c>
      <c r="E9" s="404">
        <f>DATA!A501</f>
        <v>0</v>
      </c>
      <c r="F9" s="392">
        <f>DATA!B501</f>
        <v>1</v>
      </c>
      <c r="G9" s="405">
        <f>DATA!H501</f>
        <v>29</v>
      </c>
      <c r="H9" s="405">
        <f>DATA!K501</f>
        <v>2781</v>
      </c>
      <c r="I9" s="400">
        <f>'CASE INPUTS'!$B$8</f>
        <v>46199</v>
      </c>
      <c r="J9" s="405">
        <f>DATA!R501</f>
        <v>850</v>
      </c>
      <c r="K9" s="405">
        <f>DATA!Q501</f>
        <v>0</v>
      </c>
      <c r="L9" s="405">
        <f>DATA!G501</f>
        <v>436</v>
      </c>
    </row>
  </sheetData>
  <conditionalFormatting sqref="A9:XFD9">
    <cfRule type="expression" dxfId="3" priority="1">
      <formula>$C9&lt;&gt;""</formula>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FEDC34-7972-4789-92F3-08E02E271603}">
  <dimension ref="A1:F10"/>
  <sheetViews>
    <sheetView zoomScaleNormal="100" workbookViewId="0">
      <selection activeCell="F7" sqref="F7"/>
    </sheetView>
  </sheetViews>
  <sheetFormatPr defaultColWidth="9.140625" defaultRowHeight="15.75" x14ac:dyDescent="0.25"/>
  <cols>
    <col min="1" max="1" width="64.85546875" style="392" bestFit="1" customWidth="1"/>
    <col min="2" max="2" width="22.140625" style="392" bestFit="1" customWidth="1"/>
    <col min="3" max="3" width="17.85546875" style="392" customWidth="1"/>
    <col min="4" max="4" width="18.5703125" style="392" customWidth="1"/>
    <col min="5" max="5" width="21.7109375" style="400" customWidth="1"/>
    <col min="6" max="6" width="50.5703125" style="392" customWidth="1"/>
    <col min="7" max="16384" width="9.140625" style="392"/>
  </cols>
  <sheetData>
    <row r="1" spans="1:6" ht="16.5" thickBot="1" x14ac:dyDescent="0.3">
      <c r="A1" s="487" t="s">
        <v>1073</v>
      </c>
    </row>
    <row r="2" spans="1:6" x14ac:dyDescent="0.25">
      <c r="A2" s="478" t="s">
        <v>1074</v>
      </c>
    </row>
    <row r="3" spans="1:6" ht="16.5" thickBot="1" x14ac:dyDescent="0.3">
      <c r="A3" s="478" t="s">
        <v>1041</v>
      </c>
      <c r="B3" s="485"/>
      <c r="C3" s="485"/>
      <c r="D3" s="485"/>
      <c r="E3" s="485"/>
      <c r="F3" s="485"/>
    </row>
    <row r="4" spans="1:6" ht="16.5" thickBot="1" x14ac:dyDescent="0.3">
      <c r="A4" s="422" t="s">
        <v>0</v>
      </c>
      <c r="B4" s="423" t="s">
        <v>634</v>
      </c>
      <c r="C4" s="423" t="s">
        <v>635</v>
      </c>
      <c r="D4" s="423" t="s">
        <v>636</v>
      </c>
      <c r="E4" s="430" t="s">
        <v>637</v>
      </c>
      <c r="F4" s="424" t="s">
        <v>638</v>
      </c>
    </row>
    <row r="5" spans="1:6" x14ac:dyDescent="0.25">
      <c r="A5" s="392" t="str">
        <f>'CASE INPUTS'!$B$10</f>
        <v>westrmt</v>
      </c>
      <c r="B5" s="415" t="s">
        <v>639</v>
      </c>
      <c r="C5" s="415" t="s">
        <v>640</v>
      </c>
      <c r="D5" s="415" t="s">
        <v>641</v>
      </c>
      <c r="E5" s="400">
        <f>'CASE INPUTS'!$B$8</f>
        <v>46199</v>
      </c>
      <c r="F5" s="414" t="str">
        <f ca="1">'CASE INPUTS'!$B$11</f>
        <v>07/30/2026</v>
      </c>
    </row>
    <row r="6" spans="1:6" x14ac:dyDescent="0.25">
      <c r="A6" s="392" t="str">
        <f>'CASE INPUTS'!$B$10</f>
        <v>westrmt</v>
      </c>
      <c r="B6" s="392" t="s">
        <v>124</v>
      </c>
      <c r="C6" s="415" t="s">
        <v>642</v>
      </c>
      <c r="D6" s="415" t="s">
        <v>440</v>
      </c>
      <c r="E6" s="400">
        <f>DATA!I7</f>
        <v>46174</v>
      </c>
      <c r="F6" s="414" t="str">
        <f ca="1">'CASE INPUTS'!$B$11</f>
        <v>07/30/2026</v>
      </c>
    </row>
    <row r="7" spans="1:6" x14ac:dyDescent="0.25">
      <c r="A7" s="392" t="str">
        <f>'CASE INPUTS'!$B$10</f>
        <v>westrmt</v>
      </c>
      <c r="B7" s="415" t="s">
        <v>994</v>
      </c>
      <c r="C7" s="415" t="s">
        <v>643</v>
      </c>
      <c r="D7" s="415" t="s">
        <v>440</v>
      </c>
      <c r="E7" s="400">
        <f>DATA!I17</f>
        <v>47150</v>
      </c>
      <c r="F7" s="414" t="str">
        <f ca="1">'CASE INPUTS'!$B$11</f>
        <v>07/30/2026</v>
      </c>
    </row>
    <row r="8" spans="1:6" x14ac:dyDescent="0.25">
      <c r="A8" s="392" t="str">
        <f>'CASE INPUTS'!$B$10</f>
        <v>westrmt</v>
      </c>
      <c r="B8" s="415" t="s">
        <v>644</v>
      </c>
      <c r="C8" s="415" t="s">
        <v>645</v>
      </c>
      <c r="D8" s="415" t="s">
        <v>440</v>
      </c>
      <c r="E8" s="400">
        <f>DATA!I19</f>
        <v>47239</v>
      </c>
      <c r="F8" s="414" t="str">
        <f ca="1">'CASE INPUTS'!$B$11</f>
        <v>07/30/2026</v>
      </c>
    </row>
    <row r="9" spans="1:6" x14ac:dyDescent="0.25">
      <c r="A9" s="392" t="str">
        <f>'CASE INPUTS'!$B$10</f>
        <v>westrmt</v>
      </c>
      <c r="B9" s="415" t="s">
        <v>646</v>
      </c>
      <c r="C9" s="415" t="s">
        <v>642</v>
      </c>
      <c r="D9" s="415" t="s">
        <v>440</v>
      </c>
      <c r="E9" s="400">
        <f>DATA!B646</f>
        <v>46997</v>
      </c>
      <c r="F9" s="414" t="str">
        <f ca="1">'CASE INPUTS'!$B$11</f>
        <v>07/30/2026</v>
      </c>
    </row>
    <row r="10" spans="1:6" x14ac:dyDescent="0.25">
      <c r="A10" s="392" t="str">
        <f>'CASE INPUTS'!$B$10</f>
        <v>westrmt</v>
      </c>
      <c r="B10" s="415" t="s">
        <v>647</v>
      </c>
      <c r="C10" s="415" t="s">
        <v>648</v>
      </c>
      <c r="D10" s="415" t="s">
        <v>440</v>
      </c>
      <c r="E10" s="400">
        <f>'CASE INPUTS'!B9</f>
        <v>47239</v>
      </c>
      <c r="F10" s="414" t="str">
        <f ca="1">'CASE INPUTS'!$B$11</f>
        <v>07/30/2026</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A99355-3459-485F-AF0C-08AE5850B88B}">
  <dimension ref="A1:E6"/>
  <sheetViews>
    <sheetView zoomScaleNormal="100" workbookViewId="0">
      <selection activeCell="B31" sqref="B31"/>
    </sheetView>
  </sheetViews>
  <sheetFormatPr defaultColWidth="9.140625" defaultRowHeight="15.75" x14ac:dyDescent="0.25"/>
  <cols>
    <col min="1" max="1" width="9.140625" style="392"/>
    <col min="2" max="2" width="66.7109375" style="392" bestFit="1" customWidth="1"/>
    <col min="3" max="3" width="22.5703125" style="400" customWidth="1"/>
    <col min="4" max="4" width="19.140625" style="392" customWidth="1"/>
    <col min="5" max="5" width="30.42578125" style="392" bestFit="1" customWidth="1"/>
    <col min="6" max="16384" width="9.140625" style="392"/>
  </cols>
  <sheetData>
    <row r="1" spans="1:5" ht="16.5" thickBot="1" x14ac:dyDescent="0.3">
      <c r="A1" s="491"/>
      <c r="B1" s="493" t="s">
        <v>1033</v>
      </c>
      <c r="C1" s="494"/>
    </row>
    <row r="2" spans="1:5" x14ac:dyDescent="0.25">
      <c r="A2" s="486"/>
      <c r="B2" s="492" t="s">
        <v>1034</v>
      </c>
      <c r="C2" s="490"/>
    </row>
    <row r="3" spans="1:5" x14ac:dyDescent="0.25">
      <c r="A3" s="486"/>
      <c r="B3" s="492" t="s">
        <v>1055</v>
      </c>
      <c r="C3" s="490"/>
    </row>
    <row r="4" spans="1:5" ht="16.5" thickBot="1" x14ac:dyDescent="0.3">
      <c r="A4" s="483"/>
      <c r="B4" s="492" t="s">
        <v>1035</v>
      </c>
      <c r="C4" s="488"/>
      <c r="D4" s="480"/>
      <c r="E4" s="479">
        <f>DATA!G27</f>
        <v>0.99990000000000001</v>
      </c>
    </row>
    <row r="5" spans="1:5" ht="16.5" thickBot="1" x14ac:dyDescent="0.3">
      <c r="A5" s="422" t="s">
        <v>0</v>
      </c>
      <c r="B5" s="423" t="s">
        <v>705</v>
      </c>
      <c r="C5" s="430" t="s">
        <v>706</v>
      </c>
      <c r="D5" s="423" t="s">
        <v>707</v>
      </c>
      <c r="E5" s="424" t="s">
        <v>708</v>
      </c>
    </row>
    <row r="6" spans="1:5" x14ac:dyDescent="0.25">
      <c r="A6" s="392" t="str">
        <f>'CASE INPUTS'!$B$10</f>
        <v>westrmt</v>
      </c>
      <c r="B6" s="392" t="s">
        <v>44</v>
      </c>
      <c r="C6" s="400">
        <f>'CASE INPUTS'!$B$8</f>
        <v>46199</v>
      </c>
      <c r="D6" s="392" t="s">
        <v>709</v>
      </c>
      <c r="E6" s="392">
        <f>E4 * 100</f>
        <v>99.99</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A919C9-FB57-4AE1-A6D9-99F7C090A79A}">
  <sheetPr>
    <tabColor rgb="FF002060"/>
  </sheetPr>
  <dimension ref="A1:Q3"/>
  <sheetViews>
    <sheetView workbookViewId="0">
      <selection activeCell="E7" sqref="E7"/>
    </sheetView>
  </sheetViews>
  <sheetFormatPr defaultRowHeight="15" x14ac:dyDescent="0.25"/>
  <cols>
    <col min="1" max="1" width="19.140625" bestFit="1" customWidth="1"/>
    <col min="2" max="2" width="13.5703125" bestFit="1" customWidth="1"/>
    <col min="3" max="3" width="23.7109375" bestFit="1" customWidth="1"/>
    <col min="4" max="4" width="15.42578125" bestFit="1" customWidth="1"/>
    <col min="5" max="5" width="20.42578125" bestFit="1" customWidth="1"/>
    <col min="6" max="6" width="13.5703125" bestFit="1" customWidth="1"/>
    <col min="7" max="7" width="17" bestFit="1" customWidth="1"/>
    <col min="8" max="8" width="27.5703125" bestFit="1" customWidth="1"/>
    <col min="9" max="10" width="13.5703125" bestFit="1" customWidth="1"/>
    <col min="11" max="11" width="10.7109375" bestFit="1" customWidth="1"/>
    <col min="12" max="12" width="5.5703125" bestFit="1" customWidth="1"/>
    <col min="13" max="13" width="10.7109375" bestFit="1" customWidth="1"/>
    <col min="14" max="14" width="13.140625" bestFit="1" customWidth="1"/>
    <col min="15" max="15" width="10.85546875" bestFit="1" customWidth="1"/>
    <col min="16" max="16" width="13.85546875" bestFit="1" customWidth="1"/>
    <col min="17" max="17" width="15.42578125" bestFit="1" customWidth="1"/>
  </cols>
  <sheetData>
    <row r="1" spans="1:17" ht="15.75" thickBot="1" x14ac:dyDescent="0.3">
      <c r="A1" s="419" t="s">
        <v>660</v>
      </c>
      <c r="B1" s="420" t="s">
        <v>117</v>
      </c>
      <c r="C1" s="420" t="s">
        <v>661</v>
      </c>
      <c r="D1" s="420" t="s">
        <v>662</v>
      </c>
      <c r="E1" s="420" t="s">
        <v>663</v>
      </c>
      <c r="F1" s="420" t="s">
        <v>664</v>
      </c>
      <c r="G1" s="420" t="s">
        <v>665</v>
      </c>
      <c r="H1" s="420" t="s">
        <v>666</v>
      </c>
      <c r="I1" s="420" t="s">
        <v>667</v>
      </c>
      <c r="J1" s="420" t="s">
        <v>122</v>
      </c>
      <c r="K1" s="420" t="s">
        <v>80</v>
      </c>
      <c r="L1" s="420" t="s">
        <v>87</v>
      </c>
      <c r="M1" s="420" t="s">
        <v>84</v>
      </c>
      <c r="N1" s="420" t="s">
        <v>668</v>
      </c>
      <c r="O1" s="420" t="s">
        <v>507</v>
      </c>
      <c r="P1" s="420" t="s">
        <v>669</v>
      </c>
      <c r="Q1" s="421" t="s">
        <v>670</v>
      </c>
    </row>
    <row r="2" spans="1:17" x14ac:dyDescent="0.25">
      <c r="A2" s="388" t="str">
        <f>DATA!B17</f>
        <v>Senior 62+</v>
      </c>
      <c r="B2" s="387" t="str">
        <f>DATA!B15</f>
        <v>High-Rise</v>
      </c>
      <c r="C2" s="387" t="str">
        <f>DATA!B22</f>
        <v>TCB West Tremont Limited Partnership</v>
      </c>
      <c r="D2" s="387" t="str">
        <f>DATA!B14</f>
        <v>New Construction</v>
      </c>
      <c r="E2" s="391">
        <f>'CASE INPUTS'!$B14</f>
        <v>0</v>
      </c>
      <c r="F2" s="387" t="str">
        <f>DATA!B16</f>
        <v>Urban</v>
      </c>
      <c r="G2" s="390">
        <f>DATA!C455</f>
        <v>0.09</v>
      </c>
      <c r="H2" s="391">
        <f>'CASE INPUTS'!$B12</f>
        <v>0</v>
      </c>
      <c r="I2" s="385" t="str">
        <f>DATA!D15</f>
        <v>No</v>
      </c>
      <c r="J2" t="str">
        <f>DATA!D17</f>
        <v>No</v>
      </c>
      <c r="K2" s="387" t="str">
        <f>DATA!B6</f>
        <v>Bronx</v>
      </c>
      <c r="L2" s="387" t="str">
        <f>DATA!B8</f>
        <v>NY</v>
      </c>
      <c r="M2" s="387" t="str">
        <f>DATA!B7</f>
        <v>Bronx</v>
      </c>
      <c r="N2" s="387" t="str">
        <f>IF(N3&gt;0,"Yes","No")</f>
        <v>Yes</v>
      </c>
      <c r="O2" s="387" t="str">
        <f>IF(O3&gt;0,"Yes","No")</f>
        <v>No</v>
      </c>
      <c r="P2" s="387" t="str">
        <f>IF(P3&gt;0,"Yes","No")</f>
        <v>No</v>
      </c>
      <c r="Q2" s="387" t="str">
        <f>DATA!O454</f>
        <v>No</v>
      </c>
    </row>
    <row r="3" spans="1:17" x14ac:dyDescent="0.25">
      <c r="N3" s="484">
        <f>DATA!H27</f>
        <v>0.99990000000000001</v>
      </c>
      <c r="O3" s="484">
        <f>DATA!J27</f>
        <v>0</v>
      </c>
      <c r="P3" s="484">
        <f>DATA!K27</f>
        <v>0</v>
      </c>
      <c r="Q3" s="484" t="str">
        <f>DATA!O454</f>
        <v>No</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014103-7C1A-4452-A9D4-587638875C15}">
  <dimension ref="A1:C8"/>
  <sheetViews>
    <sheetView zoomScale="145" zoomScaleNormal="145" workbookViewId="0">
      <selection activeCell="C12" sqref="C12"/>
    </sheetView>
  </sheetViews>
  <sheetFormatPr defaultRowHeight="15" x14ac:dyDescent="0.25"/>
  <cols>
    <col min="1" max="1" width="48" customWidth="1"/>
    <col min="2" max="2" width="12" bestFit="1" customWidth="1"/>
  </cols>
  <sheetData>
    <row r="1" spans="1:3" ht="15.75" thickBot="1" x14ac:dyDescent="0.3">
      <c r="A1" s="535" t="s">
        <v>1107</v>
      </c>
    </row>
    <row r="2" spans="1:3" ht="45" customHeight="1" x14ac:dyDescent="0.25">
      <c r="A2" s="536" t="s">
        <v>1110</v>
      </c>
    </row>
    <row r="3" spans="1:3" x14ac:dyDescent="0.25">
      <c r="A3" s="537" t="s">
        <v>1108</v>
      </c>
    </row>
    <row r="4" spans="1:3" x14ac:dyDescent="0.25">
      <c r="A4" s="537" t="s">
        <v>1109</v>
      </c>
    </row>
    <row r="5" spans="1:3" ht="15.75" thickBot="1" x14ac:dyDescent="0.3">
      <c r="A5" s="537" t="s">
        <v>1036</v>
      </c>
    </row>
    <row r="6" spans="1:3" ht="16.5" thickBot="1" x14ac:dyDescent="0.3">
      <c r="A6" s="422" t="s">
        <v>0</v>
      </c>
      <c r="B6" s="423" t="s">
        <v>671</v>
      </c>
      <c r="C6" s="424" t="s">
        <v>672</v>
      </c>
    </row>
    <row r="7" spans="1:3" x14ac:dyDescent="0.25">
      <c r="A7" s="518" t="str">
        <f>'CASE INPUTS'!$B$10</f>
        <v>westrmt</v>
      </c>
      <c r="B7" t="str">
        <f>DATA!B6</f>
        <v>Bronx</v>
      </c>
      <c r="C7" t="str">
        <f>DATA!B8</f>
        <v>NY</v>
      </c>
    </row>
    <row r="8" spans="1:3" x14ac:dyDescent="0.25">
      <c r="A8" s="519"/>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D463D1-9582-46B3-A57F-5822FD913935}">
  <dimension ref="A1:L5"/>
  <sheetViews>
    <sheetView zoomScaleNormal="100" workbookViewId="0">
      <selection activeCell="E23" sqref="E23"/>
    </sheetView>
  </sheetViews>
  <sheetFormatPr defaultColWidth="9.140625" defaultRowHeight="15.75" x14ac:dyDescent="0.25"/>
  <cols>
    <col min="1" max="1" width="64.140625" style="392" customWidth="1"/>
    <col min="2" max="2" width="17.140625" style="392" customWidth="1"/>
    <col min="3" max="3" width="19.42578125" style="392" bestFit="1" customWidth="1"/>
    <col min="4" max="4" width="15.85546875" style="392" bestFit="1" customWidth="1"/>
    <col min="5" max="5" width="29.140625" style="392" bestFit="1" customWidth="1"/>
    <col min="6" max="6" width="12" style="392" bestFit="1" customWidth="1"/>
    <col min="7" max="7" width="15.85546875" style="392" bestFit="1" customWidth="1"/>
    <col min="8" max="8" width="9.85546875" style="392" bestFit="1" customWidth="1"/>
    <col min="9" max="9" width="11.7109375" style="392" bestFit="1" customWidth="1"/>
    <col min="10" max="10" width="9.140625" style="392"/>
    <col min="11" max="11" width="15.28515625" style="392" bestFit="1" customWidth="1"/>
    <col min="12" max="12" width="13.7109375" style="392" bestFit="1" customWidth="1"/>
    <col min="13" max="16384" width="9.140625" style="392"/>
  </cols>
  <sheetData>
    <row r="1" spans="1:12" ht="16.5" thickBot="1" x14ac:dyDescent="0.3">
      <c r="A1" s="487" t="s">
        <v>1106</v>
      </c>
      <c r="I1" s="479">
        <v>0.99990000000000001</v>
      </c>
      <c r="J1" s="479">
        <v>0</v>
      </c>
      <c r="K1" s="479">
        <v>0</v>
      </c>
      <c r="L1" s="479"/>
    </row>
    <row r="2" spans="1:12" x14ac:dyDescent="0.25">
      <c r="A2" s="478" t="s">
        <v>1074</v>
      </c>
    </row>
    <row r="3" spans="1:12" ht="16.5" thickBot="1" x14ac:dyDescent="0.3">
      <c r="A3" s="478" t="s">
        <v>1035</v>
      </c>
    </row>
    <row r="4" spans="1:12" ht="16.5" thickBot="1" x14ac:dyDescent="0.3">
      <c r="A4" s="422" t="s">
        <v>0</v>
      </c>
      <c r="B4" s="423" t="s">
        <v>673</v>
      </c>
      <c r="C4" s="423" t="s">
        <v>674</v>
      </c>
      <c r="D4" s="423" t="s">
        <v>675</v>
      </c>
      <c r="E4" s="423" t="s">
        <v>676</v>
      </c>
      <c r="F4" s="423" t="s">
        <v>677</v>
      </c>
      <c r="G4" s="423" t="s">
        <v>678</v>
      </c>
      <c r="H4" s="423" t="s">
        <v>679</v>
      </c>
      <c r="I4" s="423" t="s">
        <v>680</v>
      </c>
      <c r="J4" s="423" t="s">
        <v>681</v>
      </c>
      <c r="K4" s="423" t="s">
        <v>682</v>
      </c>
      <c r="L4" s="424" t="s">
        <v>683</v>
      </c>
    </row>
    <row r="5" spans="1:12" x14ac:dyDescent="0.25">
      <c r="A5" s="414" t="str">
        <f>'CASE INPUTS'!$B$10</f>
        <v>westrmt</v>
      </c>
      <c r="B5" s="392" t="str">
        <f>DATA!B15</f>
        <v>High-Rise</v>
      </c>
      <c r="C5" s="392" t="str">
        <f>DATA!B22</f>
        <v>TCB West Tremont Limited Partnership</v>
      </c>
      <c r="D5" s="392" t="str">
        <f>DATA!B16</f>
        <v>Urban</v>
      </c>
      <c r="E5" s="414">
        <f>'CASE INPUTS'!$B$12</f>
        <v>0</v>
      </c>
      <c r="F5" s="392" t="str">
        <f>DATA!D15</f>
        <v>No</v>
      </c>
      <c r="G5" s="392" t="str">
        <f>DATA!D17</f>
        <v>No</v>
      </c>
      <c r="H5" s="392" t="str">
        <f>DATA!B7</f>
        <v>Bronx</v>
      </c>
      <c r="I5" s="392" t="str">
        <f>IF(I1&gt;0,"Yes","No")</f>
        <v>Yes</v>
      </c>
      <c r="J5" s="392" t="str">
        <f>IF(J1&gt;0,"Yes","No")</f>
        <v>No</v>
      </c>
      <c r="K5" s="392" t="str">
        <f>IF(K1&gt;0,"Yes","No")</f>
        <v>No</v>
      </c>
      <c r="L5" s="392" t="str">
        <f>DATA!O454</f>
        <v>No</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4C6B6D-B0FD-4F3A-9069-D07FCEC92AEE}">
  <dimension ref="A1:D10"/>
  <sheetViews>
    <sheetView zoomScaleNormal="100" workbookViewId="0">
      <selection activeCell="B28" sqref="B28"/>
    </sheetView>
  </sheetViews>
  <sheetFormatPr defaultColWidth="9.140625" defaultRowHeight="15.75" x14ac:dyDescent="0.25"/>
  <cols>
    <col min="1" max="1" width="150.28515625" style="392" bestFit="1" customWidth="1"/>
    <col min="2" max="2" width="45.140625" style="392" bestFit="1" customWidth="1"/>
    <col min="3" max="3" width="11.5703125" style="392" bestFit="1" customWidth="1"/>
    <col min="4" max="4" width="14.42578125" style="392" bestFit="1" customWidth="1"/>
    <col min="5" max="16384" width="9.140625" style="392"/>
  </cols>
  <sheetData>
    <row r="1" spans="1:4" ht="16.5" thickBot="1" x14ac:dyDescent="0.3">
      <c r="A1" s="487" t="s">
        <v>1037</v>
      </c>
    </row>
    <row r="2" spans="1:4" x14ac:dyDescent="0.25">
      <c r="A2" s="478" t="s">
        <v>1038</v>
      </c>
    </row>
    <row r="3" spans="1:4" x14ac:dyDescent="0.25">
      <c r="A3" s="478" t="s">
        <v>1116</v>
      </c>
    </row>
    <row r="4" spans="1:4" x14ac:dyDescent="0.25">
      <c r="A4" s="478" t="s">
        <v>999</v>
      </c>
    </row>
    <row r="5" spans="1:4" x14ac:dyDescent="0.25">
      <c r="A5" s="478" t="s">
        <v>1052</v>
      </c>
    </row>
    <row r="6" spans="1:4" ht="20.25" customHeight="1" thickBot="1" x14ac:dyDescent="0.3">
      <c r="A6" s="478" t="s">
        <v>1036</v>
      </c>
    </row>
    <row r="7" spans="1:4" ht="17.25" customHeight="1" thickBot="1" x14ac:dyDescent="0.3">
      <c r="A7" s="431" t="s">
        <v>0</v>
      </c>
      <c r="B7" s="432" t="s">
        <v>37</v>
      </c>
      <c r="C7" s="433" t="s">
        <v>638</v>
      </c>
      <c r="D7" s="434" t="s">
        <v>17</v>
      </c>
    </row>
    <row r="8" spans="1:4" x14ac:dyDescent="0.25">
      <c r="A8" s="416" t="str">
        <f>'CASE INPUTS'!$B$10</f>
        <v>westrmt</v>
      </c>
      <c r="B8" s="416" t="s">
        <v>44</v>
      </c>
      <c r="C8" s="417">
        <f>'CASE INPUTS'!$B$8</f>
        <v>46199</v>
      </c>
      <c r="D8" s="416" t="s">
        <v>266</v>
      </c>
    </row>
    <row r="9" spans="1:4" x14ac:dyDescent="0.25">
      <c r="A9" s="416" t="str">
        <f>'CASE INPUTS'!$B$10</f>
        <v>westrmt</v>
      </c>
      <c r="B9" s="416" t="s">
        <v>44</v>
      </c>
      <c r="C9" s="417">
        <f>'CASE INPUTS'!$B$8</f>
        <v>46199</v>
      </c>
      <c r="D9" s="416" t="s">
        <v>476</v>
      </c>
    </row>
    <row r="10" spans="1:4" x14ac:dyDescent="0.25">
      <c r="A10" s="416"/>
      <c r="B10" s="416"/>
      <c r="C10" s="416"/>
      <c r="D10" s="416"/>
    </row>
  </sheetData>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DBDFD9-AC84-404A-B45A-78234282EFCE}">
  <dimension ref="A1:I72"/>
  <sheetViews>
    <sheetView topLeftCell="A3" zoomScale="55" zoomScaleNormal="55" workbookViewId="0">
      <selection activeCell="E19" sqref="E19"/>
    </sheetView>
  </sheetViews>
  <sheetFormatPr defaultColWidth="9.140625" defaultRowHeight="15" x14ac:dyDescent="0.25"/>
  <cols>
    <col min="1" max="1" width="46.5703125" bestFit="1" customWidth="1"/>
    <col min="2" max="2" width="31.85546875" customWidth="1"/>
    <col min="3" max="3" width="83.28515625" style="386" customWidth="1"/>
    <col min="4" max="4" width="75.140625" customWidth="1"/>
    <col min="5" max="5" width="99.42578125" bestFit="1" customWidth="1"/>
    <col min="6" max="6" width="55.7109375" bestFit="1" customWidth="1"/>
    <col min="7" max="7" width="30.140625" bestFit="1" customWidth="1"/>
    <col min="8" max="8" width="95.5703125" customWidth="1"/>
    <col min="9" max="9" width="111.42578125" customWidth="1"/>
  </cols>
  <sheetData>
    <row r="1" spans="1:9" ht="80.25" customHeight="1" thickBot="1" x14ac:dyDescent="0.45">
      <c r="A1" s="435" t="s">
        <v>986</v>
      </c>
      <c r="B1" s="468"/>
      <c r="C1" s="581" t="s">
        <v>1011</v>
      </c>
      <c r="D1" s="582"/>
    </row>
    <row r="2" spans="1:9" ht="231.75" customHeight="1" thickBot="1" x14ac:dyDescent="0.45">
      <c r="A2" s="436" t="s">
        <v>987</v>
      </c>
      <c r="B2" s="469"/>
      <c r="C2" s="470" t="s">
        <v>1006</v>
      </c>
      <c r="D2" s="471" t="s">
        <v>1086</v>
      </c>
    </row>
    <row r="3" spans="1:9" ht="111" customHeight="1" thickBot="1" x14ac:dyDescent="0.3">
      <c r="C3" s="470" t="s">
        <v>1008</v>
      </c>
      <c r="D3" s="470" t="s">
        <v>1007</v>
      </c>
    </row>
    <row r="4" spans="1:9" ht="144.75" customHeight="1" thickBot="1" x14ac:dyDescent="0.3">
      <c r="C4" s="470" t="str">
        <f>"USE RBC" &amp; CHAR(10) &amp;
"select * from EquityInstallments" &amp; CHAR(10) &amp;
"where vcode = '" &amp; 'CASE INPUTS'!B10 &amp; "'"</f>
        <v>USE RBC
select * from EquityInstallments
where vcode = 'westrmt'</v>
      </c>
      <c r="D4" s="470" t="s">
        <v>1010</v>
      </c>
    </row>
    <row r="5" spans="1:9" ht="126" customHeight="1" thickBot="1" x14ac:dyDescent="0.4">
      <c r="A5" s="394" t="s">
        <v>732</v>
      </c>
      <c r="B5" s="394" t="s">
        <v>35</v>
      </c>
      <c r="C5" s="470" t="s">
        <v>1009</v>
      </c>
      <c r="D5" s="470" t="s">
        <v>1051</v>
      </c>
      <c r="G5" s="393" t="s">
        <v>656</v>
      </c>
      <c r="H5" s="393" t="s">
        <v>36</v>
      </c>
    </row>
    <row r="6" spans="1:9" ht="19.5" thickBot="1" x14ac:dyDescent="0.35">
      <c r="A6" s="437" t="s">
        <v>0</v>
      </c>
      <c r="B6" s="438" t="s">
        <v>37</v>
      </c>
      <c r="C6" s="439" t="s">
        <v>38</v>
      </c>
      <c r="D6" s="440" t="s">
        <v>39</v>
      </c>
      <c r="E6" s="438" t="s">
        <v>40</v>
      </c>
      <c r="F6" s="438" t="s">
        <v>41</v>
      </c>
      <c r="G6" s="438" t="s">
        <v>17</v>
      </c>
      <c r="H6" s="438" t="s">
        <v>42</v>
      </c>
      <c r="I6" s="441" t="s">
        <v>43</v>
      </c>
    </row>
    <row r="7" spans="1:9" ht="18.75" x14ac:dyDescent="0.3">
      <c r="A7" s="408" t="str">
        <f>'CASE INPUTS'!$B$10</f>
        <v>westrmt</v>
      </c>
      <c r="B7" s="408" t="s">
        <v>44</v>
      </c>
      <c r="C7" s="409">
        <f>DATA!E85</f>
        <v>46174</v>
      </c>
      <c r="D7" s="408">
        <v>1</v>
      </c>
      <c r="E7" s="410">
        <f>DATA!G85</f>
        <v>3454140</v>
      </c>
      <c r="F7" s="410" t="str">
        <f>DATA!A85</f>
        <v>Partnership Closing, AHAP</v>
      </c>
      <c r="G7" s="408" t="s">
        <v>45</v>
      </c>
      <c r="H7" s="409">
        <f>C7</f>
        <v>46174</v>
      </c>
      <c r="I7">
        <f>B$1</f>
        <v>0</v>
      </c>
    </row>
    <row r="8" spans="1:9" ht="18.75" x14ac:dyDescent="0.3">
      <c r="A8" s="408"/>
      <c r="B8" s="408"/>
      <c r="C8" s="409"/>
      <c r="D8" s="408"/>
      <c r="E8" s="410"/>
      <c r="F8" s="410"/>
      <c r="G8" s="408" t="s">
        <v>45</v>
      </c>
      <c r="H8" s="409"/>
    </row>
    <row r="9" spans="1:9" ht="18.75" x14ac:dyDescent="0.3">
      <c r="A9" s="408"/>
      <c r="B9" s="408"/>
      <c r="C9" s="409"/>
      <c r="D9" s="408"/>
      <c r="E9" s="410"/>
      <c r="F9" s="410"/>
      <c r="G9" s="408" t="s">
        <v>45</v>
      </c>
      <c r="H9" s="409"/>
    </row>
    <row r="10" spans="1:9" ht="18.75" x14ac:dyDescent="0.3">
      <c r="A10" s="408"/>
      <c r="B10" s="408"/>
      <c r="C10" s="409"/>
      <c r="D10" s="408"/>
      <c r="E10" s="410"/>
      <c r="F10" s="410"/>
      <c r="G10" s="408" t="s">
        <v>45</v>
      </c>
      <c r="H10" s="409"/>
    </row>
    <row r="11" spans="1:9" ht="18.75" x14ac:dyDescent="0.3">
      <c r="A11" s="408"/>
      <c r="B11" s="408"/>
      <c r="C11" s="409"/>
      <c r="D11" s="408"/>
      <c r="E11" s="410"/>
      <c r="F11" s="410"/>
      <c r="G11" s="408" t="s">
        <v>45</v>
      </c>
      <c r="H11" s="409"/>
    </row>
    <row r="12" spans="1:9" ht="18.75" x14ac:dyDescent="0.3">
      <c r="A12" s="408"/>
      <c r="B12" s="408"/>
      <c r="C12" s="409"/>
      <c r="D12" s="408"/>
      <c r="E12" s="410"/>
      <c r="F12" s="410"/>
      <c r="G12" s="408" t="s">
        <v>45</v>
      </c>
      <c r="H12" s="409"/>
    </row>
    <row r="13" spans="1:9" ht="18.75" x14ac:dyDescent="0.3">
      <c r="A13" s="408"/>
      <c r="B13" s="408"/>
      <c r="C13" s="409"/>
      <c r="D13" s="408"/>
      <c r="E13" s="410"/>
      <c r="F13" s="410"/>
      <c r="G13" s="408" t="s">
        <v>45</v>
      </c>
      <c r="H13" s="409"/>
    </row>
    <row r="14" spans="1:9" ht="18.75" x14ac:dyDescent="0.3">
      <c r="A14" s="408"/>
      <c r="B14" s="408"/>
      <c r="C14" s="409"/>
      <c r="D14" s="408"/>
      <c r="E14" s="410"/>
      <c r="F14" s="410"/>
      <c r="G14" s="408" t="s">
        <v>45</v>
      </c>
      <c r="H14" s="409"/>
    </row>
    <row r="15" spans="1:9" ht="18.75" x14ac:dyDescent="0.3">
      <c r="A15" s="408"/>
      <c r="B15" s="408"/>
      <c r="C15" s="409"/>
      <c r="D15" s="408"/>
      <c r="E15" s="410"/>
      <c r="F15" s="410"/>
      <c r="G15" s="408" t="s">
        <v>45</v>
      </c>
      <c r="H15" s="409"/>
    </row>
    <row r="16" spans="1:9" ht="18.75" x14ac:dyDescent="0.3">
      <c r="A16" s="408"/>
      <c r="B16" s="408"/>
      <c r="C16" s="409"/>
      <c r="D16" s="408"/>
      <c r="E16" s="410"/>
      <c r="F16" s="410"/>
      <c r="G16" s="408" t="s">
        <v>45</v>
      </c>
      <c r="H16" s="409"/>
    </row>
    <row r="17" spans="1:9" ht="18.75" x14ac:dyDescent="0.3">
      <c r="A17" s="408"/>
      <c r="B17" s="408"/>
      <c r="C17" s="409"/>
      <c r="D17" s="408"/>
      <c r="E17" s="410"/>
      <c r="F17" s="410"/>
      <c r="G17" s="408" t="s">
        <v>45</v>
      </c>
      <c r="H17" s="409"/>
    </row>
    <row r="18" spans="1:9" ht="18.75" x14ac:dyDescent="0.3">
      <c r="A18" s="408"/>
      <c r="B18" s="408"/>
      <c r="C18" s="409"/>
      <c r="D18" s="408"/>
      <c r="E18" s="410"/>
      <c r="F18" s="410"/>
      <c r="G18" s="408" t="s">
        <v>45</v>
      </c>
      <c r="H18" s="409"/>
    </row>
    <row r="19" spans="1:9" ht="18.75" x14ac:dyDescent="0.3">
      <c r="A19" s="408"/>
      <c r="B19" s="408"/>
      <c r="C19" s="409"/>
      <c r="D19" s="408"/>
      <c r="E19" s="410"/>
      <c r="F19" s="410"/>
      <c r="G19" s="408"/>
      <c r="H19" s="409"/>
    </row>
    <row r="20" spans="1:9" ht="18.75" x14ac:dyDescent="0.3">
      <c r="A20" s="408"/>
      <c r="B20" s="408"/>
      <c r="C20" s="409"/>
      <c r="D20" s="408"/>
      <c r="E20" s="410"/>
      <c r="F20" s="410"/>
      <c r="G20" s="408"/>
      <c r="H20" s="409"/>
    </row>
    <row r="21" spans="1:9" ht="18.75" x14ac:dyDescent="0.3">
      <c r="A21" s="408"/>
      <c r="B21" s="408"/>
      <c r="C21" s="409"/>
      <c r="D21" s="408"/>
      <c r="E21" s="410"/>
      <c r="F21" s="410"/>
      <c r="G21" s="408"/>
      <c r="H21" s="409"/>
    </row>
    <row r="22" spans="1:9" ht="18.75" x14ac:dyDescent="0.3">
      <c r="A22" s="408"/>
      <c r="B22" s="408"/>
      <c r="C22" s="409"/>
      <c r="D22" s="408"/>
      <c r="E22" s="410"/>
      <c r="F22" s="410"/>
      <c r="G22" s="408"/>
      <c r="H22" s="409"/>
    </row>
    <row r="23" spans="1:9" ht="18.75" x14ac:dyDescent="0.3">
      <c r="A23" s="408"/>
      <c r="B23" s="408"/>
      <c r="C23" s="409"/>
      <c r="D23" s="408"/>
      <c r="E23" s="410"/>
      <c r="F23" s="410"/>
      <c r="G23" s="408"/>
      <c r="H23" s="409"/>
    </row>
    <row r="24" spans="1:9" ht="18.75" x14ac:dyDescent="0.3">
      <c r="A24" s="408"/>
      <c r="B24" s="408"/>
      <c r="C24" s="409"/>
      <c r="D24" s="408"/>
      <c r="E24" s="410"/>
      <c r="F24" s="408"/>
      <c r="G24" s="408"/>
      <c r="H24" s="409"/>
    </row>
    <row r="25" spans="1:9" ht="18.75" x14ac:dyDescent="0.3">
      <c r="A25" s="408"/>
      <c r="B25" s="408"/>
      <c r="C25" s="409"/>
      <c r="D25" s="408"/>
      <c r="E25" s="410"/>
      <c r="F25" s="408"/>
      <c r="G25" s="408"/>
      <c r="H25" s="409"/>
    </row>
    <row r="26" spans="1:9" ht="18.75" x14ac:dyDescent="0.3">
      <c r="A26" s="408"/>
      <c r="B26" s="408"/>
      <c r="C26" s="409"/>
      <c r="D26" s="408"/>
      <c r="E26" s="410"/>
      <c r="F26" s="408"/>
      <c r="G26" s="408"/>
      <c r="H26" s="409"/>
    </row>
    <row r="27" spans="1:9" ht="18.75" x14ac:dyDescent="0.3">
      <c r="A27" s="579" t="s">
        <v>1012</v>
      </c>
      <c r="B27" s="580"/>
      <c r="C27" s="580"/>
      <c r="D27" s="580"/>
      <c r="E27" s="580"/>
      <c r="F27" s="580"/>
      <c r="G27" s="580"/>
      <c r="H27" s="580"/>
      <c r="I27" s="418"/>
    </row>
    <row r="28" spans="1:9" ht="18.75" x14ac:dyDescent="0.3">
      <c r="A28" s="408" t="str">
        <f>'CASE INPUTS'!$B$10</f>
        <v>westrmt</v>
      </c>
      <c r="B28" s="408" t="s">
        <v>44</v>
      </c>
      <c r="C28" s="409">
        <f>DATA!D104</f>
        <v>46174</v>
      </c>
      <c r="D28" s="408">
        <v>1</v>
      </c>
      <c r="E28" s="410">
        <f>DATA!G104</f>
        <v>727500</v>
      </c>
      <c r="F28" s="410" t="str">
        <f>DATA!B104</f>
        <v>Partnership Closing, AHAP</v>
      </c>
      <c r="G28" s="408" t="s">
        <v>45</v>
      </c>
      <c r="H28" s="409">
        <f t="shared" ref="H28" si="0">C28</f>
        <v>46174</v>
      </c>
      <c r="I28">
        <f>B$2</f>
        <v>0</v>
      </c>
    </row>
    <row r="29" spans="1:9" ht="18.75" x14ac:dyDescent="0.3">
      <c r="A29" s="408"/>
      <c r="B29" s="408"/>
      <c r="C29" s="409"/>
      <c r="D29" s="408"/>
      <c r="E29" s="410"/>
      <c r="F29" s="410"/>
      <c r="G29" s="408" t="s">
        <v>45</v>
      </c>
      <c r="H29" s="409"/>
    </row>
    <row r="30" spans="1:9" ht="18.75" x14ac:dyDescent="0.3">
      <c r="A30" s="408"/>
      <c r="B30" s="408"/>
      <c r="C30" s="409"/>
      <c r="D30" s="408"/>
      <c r="E30" s="410"/>
      <c r="F30" s="410"/>
      <c r="G30" s="408" t="s">
        <v>45</v>
      </c>
      <c r="H30" s="409"/>
    </row>
    <row r="31" spans="1:9" ht="18.75" x14ac:dyDescent="0.3">
      <c r="A31" s="408"/>
      <c r="B31" s="408"/>
      <c r="C31" s="409"/>
      <c r="D31" s="408"/>
      <c r="E31" s="410"/>
      <c r="F31" s="410"/>
      <c r="G31" s="408" t="s">
        <v>45</v>
      </c>
      <c r="H31" s="409"/>
    </row>
    <row r="32" spans="1:9" ht="18.75" x14ac:dyDescent="0.3">
      <c r="A32" s="408"/>
      <c r="B32" s="408"/>
      <c r="C32" s="409"/>
      <c r="D32" s="408"/>
      <c r="E32" s="410"/>
      <c r="F32" s="410"/>
      <c r="G32" s="408" t="s">
        <v>45</v>
      </c>
      <c r="H32" s="409"/>
    </row>
    <row r="33" spans="1:8" ht="18.75" x14ac:dyDescent="0.3">
      <c r="A33" s="408"/>
      <c r="B33" s="408"/>
      <c r="C33" s="409"/>
      <c r="D33" s="408"/>
      <c r="E33" s="410"/>
      <c r="F33" s="410"/>
      <c r="G33" s="408" t="s">
        <v>45</v>
      </c>
      <c r="H33" s="409"/>
    </row>
    <row r="34" spans="1:8" ht="18.75" x14ac:dyDescent="0.3">
      <c r="A34" s="408"/>
      <c r="B34" s="408"/>
      <c r="C34" s="409"/>
      <c r="D34" s="408"/>
      <c r="E34" s="410"/>
      <c r="F34" s="410"/>
      <c r="G34" s="408" t="s">
        <v>45</v>
      </c>
      <c r="H34" s="409"/>
    </row>
    <row r="35" spans="1:8" ht="18.75" x14ac:dyDescent="0.3">
      <c r="A35" s="408"/>
      <c r="B35" s="408"/>
      <c r="C35" s="409"/>
      <c r="D35" s="408"/>
      <c r="E35" s="410"/>
      <c r="F35" s="410"/>
      <c r="G35" s="408" t="s">
        <v>45</v>
      </c>
      <c r="H35" s="409"/>
    </row>
    <row r="36" spans="1:8" ht="18.75" x14ac:dyDescent="0.3">
      <c r="A36" s="408"/>
      <c r="B36" s="408"/>
      <c r="C36" s="409"/>
      <c r="D36" s="408"/>
      <c r="E36" s="410"/>
      <c r="F36" s="410"/>
      <c r="G36" s="408" t="s">
        <v>45</v>
      </c>
      <c r="H36" s="409"/>
    </row>
    <row r="37" spans="1:8" ht="18.75" x14ac:dyDescent="0.3">
      <c r="A37" s="408"/>
      <c r="B37" s="408"/>
      <c r="C37" s="409"/>
      <c r="D37" s="408"/>
      <c r="E37" s="410"/>
      <c r="F37" s="410"/>
      <c r="G37" s="408" t="s">
        <v>45</v>
      </c>
      <c r="H37" s="409"/>
    </row>
    <row r="38" spans="1:8" ht="18.75" x14ac:dyDescent="0.3">
      <c r="A38" s="408"/>
      <c r="B38" s="408"/>
      <c r="C38" s="409"/>
      <c r="D38" s="408"/>
      <c r="E38" s="410"/>
      <c r="F38" s="410"/>
      <c r="G38" s="408" t="s">
        <v>45</v>
      </c>
      <c r="H38" s="409"/>
    </row>
    <row r="39" spans="1:8" ht="18.75" x14ac:dyDescent="0.3">
      <c r="A39" s="408"/>
      <c r="B39" s="408"/>
      <c r="C39" s="409"/>
      <c r="D39" s="408"/>
      <c r="E39" s="410"/>
      <c r="F39" s="410"/>
      <c r="G39" s="408" t="s">
        <v>45</v>
      </c>
      <c r="H39" s="409"/>
    </row>
    <row r="40" spans="1:8" ht="18.75" x14ac:dyDescent="0.3">
      <c r="A40" s="408"/>
      <c r="B40" s="408"/>
      <c r="C40" s="409"/>
      <c r="D40" s="408"/>
      <c r="E40" s="408"/>
      <c r="F40" s="408"/>
      <c r="G40" s="408"/>
      <c r="H40" s="408"/>
    </row>
    <row r="41" spans="1:8" ht="18.75" x14ac:dyDescent="0.3">
      <c r="A41" s="408"/>
      <c r="B41" s="408"/>
      <c r="C41" s="409"/>
      <c r="D41" s="408"/>
      <c r="E41" s="408"/>
      <c r="F41" s="408"/>
      <c r="G41" s="408"/>
      <c r="H41" s="408"/>
    </row>
    <row r="42" spans="1:8" ht="18.75" x14ac:dyDescent="0.3">
      <c r="A42" s="408"/>
      <c r="B42" s="408"/>
      <c r="C42" s="409"/>
      <c r="D42" s="408"/>
      <c r="E42" s="408"/>
      <c r="F42" s="408"/>
      <c r="G42" s="408"/>
      <c r="H42" s="408"/>
    </row>
    <row r="43" spans="1:8" ht="18.75" x14ac:dyDescent="0.3">
      <c r="A43" s="408"/>
      <c r="B43" s="408"/>
      <c r="C43" s="409"/>
      <c r="D43" s="408"/>
      <c r="E43" s="408"/>
      <c r="F43" s="408"/>
      <c r="G43" s="408"/>
      <c r="H43" s="408"/>
    </row>
    <row r="44" spans="1:8" ht="18.75" x14ac:dyDescent="0.3">
      <c r="A44" s="408"/>
      <c r="B44" s="408"/>
      <c r="C44" s="409"/>
      <c r="D44" s="408"/>
      <c r="E44" s="408"/>
      <c r="F44" s="408"/>
      <c r="G44" s="408"/>
      <c r="H44" s="408"/>
    </row>
    <row r="45" spans="1:8" ht="18.75" x14ac:dyDescent="0.3">
      <c r="A45" s="408"/>
      <c r="B45" s="408"/>
      <c r="C45" s="409"/>
      <c r="D45" s="408"/>
      <c r="E45" s="408"/>
      <c r="F45" s="408"/>
      <c r="G45" s="408"/>
      <c r="H45" s="408"/>
    </row>
    <row r="46" spans="1:8" ht="18.75" x14ac:dyDescent="0.3">
      <c r="A46" s="408"/>
      <c r="B46" s="408"/>
      <c r="C46" s="409"/>
      <c r="D46" s="408"/>
      <c r="E46" s="408"/>
      <c r="F46" s="408"/>
      <c r="G46" s="408"/>
      <c r="H46" s="408"/>
    </row>
    <row r="47" spans="1:8" ht="18.75" x14ac:dyDescent="0.3">
      <c r="A47" s="408"/>
      <c r="B47" s="408"/>
      <c r="C47" s="409"/>
      <c r="D47" s="408"/>
      <c r="E47" s="408"/>
      <c r="F47" s="408"/>
      <c r="G47" s="408"/>
      <c r="H47" s="408"/>
    </row>
    <row r="48" spans="1:8" ht="18.75" x14ac:dyDescent="0.3">
      <c r="A48" s="408"/>
      <c r="B48" s="408"/>
      <c r="C48" s="409"/>
      <c r="D48" s="408"/>
      <c r="E48" s="408"/>
      <c r="F48" s="408"/>
      <c r="G48" s="408"/>
      <c r="H48" s="408"/>
    </row>
    <row r="49" spans="1:8" ht="18.75" x14ac:dyDescent="0.3">
      <c r="A49" s="408"/>
      <c r="B49" s="408"/>
      <c r="C49" s="409"/>
      <c r="D49" s="408"/>
      <c r="E49" s="408"/>
      <c r="F49" s="408"/>
      <c r="G49" s="408"/>
      <c r="H49" s="408"/>
    </row>
    <row r="50" spans="1:8" ht="18.75" x14ac:dyDescent="0.3">
      <c r="A50" s="408"/>
      <c r="B50" s="408"/>
      <c r="C50" s="409"/>
      <c r="D50" s="408"/>
      <c r="E50" s="408"/>
      <c r="F50" s="408"/>
      <c r="G50" s="408"/>
      <c r="H50" s="408"/>
    </row>
    <row r="51" spans="1:8" ht="18.75" x14ac:dyDescent="0.3">
      <c r="A51" s="408"/>
      <c r="B51" s="408"/>
      <c r="C51" s="409"/>
      <c r="D51" s="408"/>
      <c r="E51" s="408"/>
      <c r="F51" s="408"/>
      <c r="G51" s="408"/>
      <c r="H51" s="408"/>
    </row>
    <row r="52" spans="1:8" ht="18.75" x14ac:dyDescent="0.3">
      <c r="A52" s="408"/>
      <c r="B52" s="408"/>
      <c r="C52" s="409"/>
      <c r="D52" s="408"/>
      <c r="E52" s="408"/>
      <c r="F52" s="408"/>
      <c r="G52" s="408"/>
      <c r="H52" s="408"/>
    </row>
    <row r="53" spans="1:8" ht="18.75" x14ac:dyDescent="0.3">
      <c r="A53" s="408"/>
      <c r="B53" s="408"/>
      <c r="C53" s="409"/>
      <c r="D53" s="408"/>
      <c r="E53" s="408"/>
      <c r="F53" s="408"/>
      <c r="G53" s="408"/>
      <c r="H53" s="408"/>
    </row>
    <row r="54" spans="1:8" ht="18.75" x14ac:dyDescent="0.3">
      <c r="A54" s="408"/>
      <c r="B54" s="408"/>
      <c r="C54" s="409"/>
      <c r="D54" s="408"/>
      <c r="E54" s="408"/>
      <c r="F54" s="408"/>
      <c r="G54" s="408"/>
      <c r="H54" s="408"/>
    </row>
    <row r="55" spans="1:8" ht="18.75" x14ac:dyDescent="0.3">
      <c r="A55" s="408"/>
      <c r="B55" s="408"/>
      <c r="C55" s="409"/>
      <c r="D55" s="408"/>
      <c r="E55" s="408"/>
      <c r="F55" s="408"/>
      <c r="G55" s="408"/>
      <c r="H55" s="408"/>
    </row>
    <row r="56" spans="1:8" ht="18.75" x14ac:dyDescent="0.3">
      <c r="A56" s="408"/>
      <c r="B56" s="408"/>
      <c r="C56" s="409"/>
      <c r="D56" s="408"/>
      <c r="E56" s="408"/>
      <c r="F56" s="408"/>
      <c r="G56" s="408"/>
      <c r="H56" s="408"/>
    </row>
    <row r="57" spans="1:8" ht="18.75" x14ac:dyDescent="0.3">
      <c r="A57" s="408"/>
      <c r="B57" s="408"/>
      <c r="C57" s="409"/>
      <c r="D57" s="408"/>
      <c r="E57" s="408"/>
      <c r="F57" s="408"/>
      <c r="G57" s="408"/>
      <c r="H57" s="408"/>
    </row>
    <row r="58" spans="1:8" ht="18.75" x14ac:dyDescent="0.3">
      <c r="A58" s="408"/>
      <c r="B58" s="408"/>
      <c r="C58" s="409"/>
      <c r="D58" s="408"/>
      <c r="E58" s="408"/>
      <c r="F58" s="408"/>
      <c r="G58" s="408"/>
      <c r="H58" s="408"/>
    </row>
    <row r="59" spans="1:8" ht="18.75" x14ac:dyDescent="0.3">
      <c r="A59" s="408"/>
      <c r="B59" s="408"/>
      <c r="C59" s="409"/>
      <c r="D59" s="408"/>
      <c r="E59" s="408"/>
      <c r="F59" s="408"/>
      <c r="G59" s="408"/>
      <c r="H59" s="408"/>
    </row>
    <row r="60" spans="1:8" ht="18.75" x14ac:dyDescent="0.3">
      <c r="A60" s="408"/>
      <c r="B60" s="408"/>
      <c r="C60" s="409"/>
      <c r="D60" s="408"/>
      <c r="E60" s="408"/>
      <c r="F60" s="408"/>
      <c r="G60" s="408"/>
      <c r="H60" s="408"/>
    </row>
    <row r="61" spans="1:8" ht="18.75" x14ac:dyDescent="0.3">
      <c r="A61" s="408"/>
      <c r="B61" s="408"/>
      <c r="C61" s="409"/>
      <c r="D61" s="408"/>
      <c r="E61" s="408"/>
      <c r="F61" s="408"/>
      <c r="G61" s="408"/>
      <c r="H61" s="408"/>
    </row>
    <row r="62" spans="1:8" ht="18.75" x14ac:dyDescent="0.3">
      <c r="A62" s="408"/>
      <c r="B62" s="408"/>
      <c r="C62" s="409"/>
      <c r="D62" s="408"/>
      <c r="E62" s="408"/>
      <c r="F62" s="408"/>
      <c r="G62" s="408"/>
      <c r="H62" s="408"/>
    </row>
    <row r="63" spans="1:8" ht="18.75" x14ac:dyDescent="0.3">
      <c r="A63" s="408"/>
      <c r="B63" s="408"/>
      <c r="C63" s="409"/>
      <c r="D63" s="408"/>
      <c r="E63" s="408"/>
      <c r="F63" s="408"/>
      <c r="G63" s="408"/>
      <c r="H63" s="408"/>
    </row>
    <row r="64" spans="1:8" ht="18.75" x14ac:dyDescent="0.3">
      <c r="A64" s="408"/>
      <c r="B64" s="408"/>
      <c r="C64" s="409"/>
      <c r="D64" s="408"/>
      <c r="E64" s="408"/>
      <c r="F64" s="408"/>
      <c r="G64" s="408"/>
      <c r="H64" s="408"/>
    </row>
    <row r="65" spans="1:8" ht="18.75" x14ac:dyDescent="0.3">
      <c r="A65" s="408"/>
      <c r="B65" s="408"/>
      <c r="C65" s="409"/>
      <c r="D65" s="408"/>
      <c r="E65" s="408"/>
      <c r="F65" s="408"/>
      <c r="G65" s="408"/>
      <c r="H65" s="408"/>
    </row>
    <row r="66" spans="1:8" ht="18.75" x14ac:dyDescent="0.3">
      <c r="A66" s="408"/>
      <c r="B66" s="408"/>
      <c r="C66" s="409"/>
      <c r="D66" s="408"/>
      <c r="E66" s="408"/>
      <c r="F66" s="408"/>
      <c r="G66" s="408"/>
      <c r="H66" s="408"/>
    </row>
    <row r="67" spans="1:8" ht="18.75" x14ac:dyDescent="0.3">
      <c r="A67" s="408"/>
      <c r="B67" s="408"/>
      <c r="C67" s="409"/>
      <c r="D67" s="408"/>
      <c r="E67" s="408"/>
      <c r="F67" s="408"/>
      <c r="G67" s="408"/>
      <c r="H67" s="408"/>
    </row>
    <row r="68" spans="1:8" ht="18.75" x14ac:dyDescent="0.3">
      <c r="A68" s="408"/>
      <c r="B68" s="408"/>
      <c r="C68" s="409"/>
      <c r="D68" s="408"/>
      <c r="E68" s="408"/>
      <c r="F68" s="408"/>
      <c r="G68" s="408"/>
      <c r="H68" s="408"/>
    </row>
    <row r="69" spans="1:8" ht="18.75" x14ac:dyDescent="0.3">
      <c r="A69" s="408"/>
      <c r="B69" s="408"/>
      <c r="C69" s="409"/>
      <c r="D69" s="408"/>
      <c r="E69" s="408"/>
      <c r="F69" s="408"/>
      <c r="G69" s="408"/>
      <c r="H69" s="408"/>
    </row>
    <row r="70" spans="1:8" ht="18.75" x14ac:dyDescent="0.3">
      <c r="A70" s="408"/>
      <c r="B70" s="408"/>
      <c r="C70" s="409"/>
      <c r="D70" s="408"/>
      <c r="E70" s="408"/>
      <c r="F70" s="408"/>
      <c r="G70" s="408"/>
      <c r="H70" s="408"/>
    </row>
    <row r="71" spans="1:8" ht="18.75" x14ac:dyDescent="0.3">
      <c r="A71" s="408"/>
      <c r="B71" s="408"/>
      <c r="C71" s="409"/>
      <c r="D71" s="408"/>
      <c r="E71" s="408"/>
      <c r="F71" s="408"/>
      <c r="G71" s="408"/>
      <c r="H71" s="408"/>
    </row>
    <row r="72" spans="1:8" ht="18.75" x14ac:dyDescent="0.3">
      <c r="A72" s="408"/>
      <c r="B72" s="408"/>
      <c r="C72" s="409"/>
      <c r="D72" s="408"/>
      <c r="E72" s="408"/>
      <c r="F72" s="408"/>
      <c r="G72" s="408"/>
      <c r="H72" s="408"/>
    </row>
  </sheetData>
  <mergeCells count="2">
    <mergeCell ref="A27:H27"/>
    <mergeCell ref="C1:D1"/>
  </mergeCells>
  <conditionalFormatting sqref="A7:I26">
    <cfRule type="expression" dxfId="2" priority="3">
      <formula>OR(TRIM($E7)="", $E7=0, TRIM($E7)="-")</formula>
    </cfRule>
  </conditionalFormatting>
  <conditionalFormatting sqref="A28:I48">
    <cfRule type="expression" dxfId="1" priority="2">
      <formula>OR(TRIM($E28)="", $E28=0, TRIM($E28)="-")</formula>
    </cfRule>
  </conditionalFormatting>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F6556F-ABF5-44CC-8120-B84C37F1FE89}">
  <dimension ref="A1:H12"/>
  <sheetViews>
    <sheetView workbookViewId="0">
      <selection activeCell="A35" sqref="A35"/>
    </sheetView>
  </sheetViews>
  <sheetFormatPr defaultColWidth="9.140625" defaultRowHeight="15.75" x14ac:dyDescent="0.25"/>
  <cols>
    <col min="1" max="1" width="99.42578125" style="392" bestFit="1" customWidth="1"/>
    <col min="2" max="2" width="13.5703125" style="392" bestFit="1" customWidth="1"/>
    <col min="3" max="3" width="11.5703125" style="392" bestFit="1" customWidth="1"/>
    <col min="4" max="4" width="13.140625" style="392" bestFit="1" customWidth="1"/>
    <col min="5" max="5" width="14.5703125" style="392" bestFit="1" customWidth="1"/>
    <col min="6" max="6" width="9.28515625" style="392" customWidth="1"/>
    <col min="7" max="7" width="9.7109375" style="392" bestFit="1" customWidth="1"/>
    <col min="8" max="8" width="15.7109375" style="392" bestFit="1" customWidth="1"/>
    <col min="9" max="16384" width="9.140625" style="392"/>
  </cols>
  <sheetData>
    <row r="1" spans="1:8" ht="16.5" thickBot="1" x14ac:dyDescent="0.3">
      <c r="A1" s="487" t="s">
        <v>1039</v>
      </c>
    </row>
    <row r="2" spans="1:8" x14ac:dyDescent="0.25">
      <c r="A2" s="492" t="s">
        <v>1115</v>
      </c>
    </row>
    <row r="3" spans="1:8" x14ac:dyDescent="0.25">
      <c r="A3" s="478" t="s">
        <v>1075</v>
      </c>
    </row>
    <row r="4" spans="1:8" x14ac:dyDescent="0.25">
      <c r="A4" s="478" t="s">
        <v>1076</v>
      </c>
    </row>
    <row r="5" spans="1:8" x14ac:dyDescent="0.25">
      <c r="A5" s="478" t="s">
        <v>1077</v>
      </c>
    </row>
    <row r="6" spans="1:8" x14ac:dyDescent="0.25">
      <c r="A6" s="478" t="s">
        <v>1020</v>
      </c>
    </row>
    <row r="7" spans="1:8" x14ac:dyDescent="0.25">
      <c r="A7" s="478" t="s">
        <v>1021</v>
      </c>
    </row>
    <row r="8" spans="1:8" x14ac:dyDescent="0.25">
      <c r="A8" s="478" t="s">
        <v>1078</v>
      </c>
    </row>
    <row r="9" spans="1:8" x14ac:dyDescent="0.25">
      <c r="A9" s="478" t="s">
        <v>1118</v>
      </c>
    </row>
    <row r="10" spans="1:8" ht="16.5" thickBot="1" x14ac:dyDescent="0.3">
      <c r="A10" s="478" t="s">
        <v>1117</v>
      </c>
    </row>
    <row r="11" spans="1:8" ht="16.5" thickBot="1" x14ac:dyDescent="0.3">
      <c r="A11" s="422" t="s">
        <v>0</v>
      </c>
      <c r="B11" s="423" t="s">
        <v>37</v>
      </c>
      <c r="C11" s="423" t="s">
        <v>1001</v>
      </c>
      <c r="D11" s="423" t="s">
        <v>1002</v>
      </c>
      <c r="E11" s="423" t="s">
        <v>1003</v>
      </c>
      <c r="F11" s="423" t="s">
        <v>1004</v>
      </c>
      <c r="G11" s="423" t="s">
        <v>1005</v>
      </c>
      <c r="H11" s="424" t="s">
        <v>43</v>
      </c>
    </row>
    <row r="12" spans="1:8" x14ac:dyDescent="0.25">
      <c r="A12" s="392" t="str">
        <f>'CASE INPUTS'!$B$10</f>
        <v>westrmt</v>
      </c>
      <c r="B12" s="392" t="s">
        <v>44</v>
      </c>
      <c r="C12" s="400">
        <v>46008</v>
      </c>
      <c r="D12" s="392">
        <v>1</v>
      </c>
      <c r="E12" s="392">
        <v>2779112</v>
      </c>
      <c r="F12" s="392" t="s">
        <v>1000</v>
      </c>
      <c r="G12" s="392" t="s">
        <v>45</v>
      </c>
      <c r="H12" s="392">
        <v>3743</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8396A1-9CEF-4B8F-A6A0-8311296B374C}">
  <dimension ref="A1:AB5"/>
  <sheetViews>
    <sheetView zoomScaleNormal="100" workbookViewId="0">
      <selection activeCell="F26" sqref="F26"/>
    </sheetView>
  </sheetViews>
  <sheetFormatPr defaultColWidth="9.140625" defaultRowHeight="15.75" x14ac:dyDescent="0.25"/>
  <cols>
    <col min="1" max="1" width="89.7109375" style="479" bestFit="1" customWidth="1"/>
    <col min="2" max="2" width="20.28515625" style="479" bestFit="1" customWidth="1"/>
    <col min="3" max="3" width="15.7109375" style="479" bestFit="1" customWidth="1"/>
    <col min="4" max="5" width="9.28515625" style="479" bestFit="1" customWidth="1"/>
    <col min="6" max="6" width="15.85546875" style="479" bestFit="1" customWidth="1"/>
    <col min="7" max="7" width="19.7109375" style="479" bestFit="1" customWidth="1"/>
    <col min="8" max="8" width="19.140625" style="479" bestFit="1" customWidth="1"/>
    <col min="9" max="9" width="23" style="479" bestFit="1" customWidth="1"/>
    <col min="10" max="10" width="16.5703125" style="479" bestFit="1" customWidth="1"/>
    <col min="11" max="11" width="15.7109375" style="479" bestFit="1" customWidth="1"/>
    <col min="12" max="12" width="9.7109375" style="479" bestFit="1" customWidth="1"/>
    <col min="13" max="13" width="16.140625" style="479" customWidth="1"/>
    <col min="14" max="14" width="31.28515625" style="479" bestFit="1" customWidth="1"/>
    <col min="15" max="15" width="26" style="479" customWidth="1"/>
    <col min="16" max="16" width="30.28515625" style="479" customWidth="1"/>
    <col min="17" max="17" width="25.5703125" style="479" customWidth="1"/>
    <col min="18" max="18" width="42.42578125" style="479" customWidth="1"/>
    <col min="19" max="19" width="24.42578125" style="479" bestFit="1" customWidth="1"/>
    <col min="20" max="20" width="19.140625" style="479" bestFit="1" customWidth="1"/>
    <col min="21" max="21" width="13" style="479" bestFit="1" customWidth="1"/>
    <col min="22" max="22" width="14.42578125" style="479" bestFit="1" customWidth="1"/>
    <col min="23" max="23" width="31.28515625" style="479" customWidth="1"/>
    <col min="24" max="24" width="10" style="479" bestFit="1" customWidth="1"/>
    <col min="25" max="25" width="14.140625" style="479" bestFit="1" customWidth="1"/>
    <col min="26" max="26" width="12" style="479" bestFit="1" customWidth="1"/>
    <col min="27" max="27" width="12.42578125" style="479" bestFit="1" customWidth="1"/>
    <col min="28" max="28" width="11.7109375" style="479" bestFit="1" customWidth="1"/>
    <col min="29" max="16384" width="9.140625" style="479"/>
  </cols>
  <sheetData>
    <row r="1" spans="1:28" s="392" customFormat="1" ht="16.5" thickBot="1" x14ac:dyDescent="0.3">
      <c r="A1" s="487" t="s">
        <v>1040</v>
      </c>
      <c r="O1" s="495">
        <f>DATA!D486</f>
        <v>0.09</v>
      </c>
      <c r="P1" s="479"/>
      <c r="Q1" s="496">
        <f>DATA!D469+DATA!E469</f>
        <v>61983445</v>
      </c>
      <c r="R1" s="479"/>
      <c r="Y1" s="495">
        <f>DATA!H240</f>
        <v>5.0000698606977687E-2</v>
      </c>
    </row>
    <row r="2" spans="1:28" s="392" customFormat="1" x14ac:dyDescent="0.25">
      <c r="A2" s="478" t="s">
        <v>1083</v>
      </c>
      <c r="O2" s="479"/>
      <c r="P2" s="479"/>
      <c r="Q2" s="479"/>
      <c r="R2" s="479"/>
      <c r="Y2" s="495"/>
    </row>
    <row r="3" spans="1:28" s="392" customFormat="1" ht="16.5" thickBot="1" x14ac:dyDescent="0.3">
      <c r="A3" s="478" t="s">
        <v>1041</v>
      </c>
      <c r="O3" s="479"/>
      <c r="P3" s="479"/>
      <c r="Q3" s="479"/>
      <c r="R3" s="479"/>
    </row>
    <row r="4" spans="1:28" s="392" customFormat="1" ht="16.5" thickBot="1" x14ac:dyDescent="0.3">
      <c r="A4" s="422" t="s">
        <v>0</v>
      </c>
      <c r="B4" s="423" t="s">
        <v>10</v>
      </c>
      <c r="C4" s="423" t="s">
        <v>11</v>
      </c>
      <c r="D4" s="423" t="s">
        <v>46</v>
      </c>
      <c r="E4" s="423" t="s">
        <v>47</v>
      </c>
      <c r="F4" s="423" t="s">
        <v>48</v>
      </c>
      <c r="G4" s="423" t="s">
        <v>49</v>
      </c>
      <c r="H4" s="423" t="s">
        <v>50</v>
      </c>
      <c r="I4" s="423" t="s">
        <v>51</v>
      </c>
      <c r="J4" s="423" t="s">
        <v>52</v>
      </c>
      <c r="K4" s="423" t="s">
        <v>53</v>
      </c>
      <c r="L4" s="423" t="s">
        <v>54</v>
      </c>
      <c r="M4" s="423" t="s">
        <v>55</v>
      </c>
      <c r="N4" s="423" t="s">
        <v>631</v>
      </c>
      <c r="O4" s="423" t="s">
        <v>57</v>
      </c>
      <c r="P4" s="423" t="s">
        <v>632</v>
      </c>
      <c r="Q4" s="423" t="s">
        <v>56</v>
      </c>
      <c r="R4" s="423" t="s">
        <v>58</v>
      </c>
      <c r="S4" s="423" t="s">
        <v>59</v>
      </c>
      <c r="T4" s="423" t="s">
        <v>60</v>
      </c>
      <c r="U4" s="423" t="s">
        <v>61</v>
      </c>
      <c r="V4" s="423" t="s">
        <v>62</v>
      </c>
      <c r="W4" s="423" t="s">
        <v>63</v>
      </c>
      <c r="X4" s="423" t="s">
        <v>633</v>
      </c>
      <c r="Y4" s="423" t="s">
        <v>64</v>
      </c>
      <c r="Z4" s="423" t="s">
        <v>65</v>
      </c>
      <c r="AA4" s="423" t="s">
        <v>66</v>
      </c>
      <c r="AB4" s="424" t="s">
        <v>67</v>
      </c>
    </row>
    <row r="5" spans="1:28" s="392" customFormat="1" x14ac:dyDescent="0.25">
      <c r="A5" s="392" t="str">
        <f>'CASE INPUTS'!$B$10</f>
        <v>westrmt</v>
      </c>
      <c r="B5" s="400">
        <f>'CASE INPUTS'!$B$8</f>
        <v>46199</v>
      </c>
      <c r="C5" s="392" t="s">
        <v>16</v>
      </c>
      <c r="D5" s="407">
        <f>DATA!B9</f>
        <v>97</v>
      </c>
      <c r="E5" s="407">
        <f>DATA!B12</f>
        <v>1</v>
      </c>
      <c r="F5" s="392">
        <f>DATA!I177</f>
        <v>30</v>
      </c>
      <c r="G5" s="489" t="s">
        <v>655</v>
      </c>
      <c r="H5" s="392">
        <f>DATA!I186</f>
        <v>5</v>
      </c>
      <c r="I5" s="489" t="s">
        <v>655</v>
      </c>
      <c r="J5" s="392">
        <f>ROUNDUP(DATA!B74, 2)</f>
        <v>0.98</v>
      </c>
      <c r="K5" s="411">
        <f>DATA!C646</f>
        <v>400</v>
      </c>
      <c r="L5" s="401">
        <f>DATA!E646</f>
        <v>1.03</v>
      </c>
      <c r="M5" s="405">
        <f>DATA!C447</f>
        <v>74476866</v>
      </c>
      <c r="N5" s="412">
        <f>IF(ROUND(O1,5)=0.09, O1, "")</f>
        <v>0.09</v>
      </c>
      <c r="O5" s="401" t="str">
        <f>IF(ROUND(O1,5)=0.04, O1, "")</f>
        <v/>
      </c>
      <c r="P5" s="407">
        <f>IF(O1=0.09, Q1, "")</f>
        <v>61983445</v>
      </c>
      <c r="Q5" s="392" t="str">
        <f>IF(O1=0.04, Q1, "")</f>
        <v/>
      </c>
      <c r="R5" s="405">
        <f>DATA!D481+DATA!E481</f>
        <v>80578478.5</v>
      </c>
      <c r="S5" s="411">
        <f>DATA!K38</f>
        <v>17668230</v>
      </c>
      <c r="T5" s="405">
        <f>DATA!B76</f>
        <v>4426326</v>
      </c>
      <c r="U5" s="405">
        <f>DATA!C487</f>
        <v>7252063</v>
      </c>
      <c r="V5" s="405">
        <f>DATA!G97</f>
        <v>17270698</v>
      </c>
      <c r="W5" s="413">
        <f>ROUNDUP(DATA!B81, 2)</f>
        <v>1.26</v>
      </c>
      <c r="X5" s="401">
        <f>DATA!C79</f>
        <v>6.6164356470108043E-2</v>
      </c>
      <c r="Y5" s="392">
        <f>ROUND(Y1*100,0)</f>
        <v>5</v>
      </c>
      <c r="Z5" s="405">
        <f>DATA!D629</f>
        <v>11535</v>
      </c>
      <c r="AA5" s="405">
        <f>DATA!C446</f>
        <v>1416136</v>
      </c>
      <c r="AB5" s="411">
        <f>DATA!D646</f>
        <v>38800</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89AFB9-66D3-4852-A326-2FE84F45018A}">
  <dimension ref="A1:B6"/>
  <sheetViews>
    <sheetView workbookViewId="0">
      <selection activeCell="B10" sqref="B10"/>
    </sheetView>
  </sheetViews>
  <sheetFormatPr defaultColWidth="9.140625" defaultRowHeight="15.75" x14ac:dyDescent="0.25"/>
  <cols>
    <col min="1" max="1" width="69.7109375" style="392" bestFit="1" customWidth="1"/>
    <col min="2" max="2" width="58.42578125" style="392" customWidth="1"/>
    <col min="3" max="16384" width="9.140625" style="392"/>
  </cols>
  <sheetData>
    <row r="1" spans="1:2" ht="16.5" thickBot="1" x14ac:dyDescent="0.3">
      <c r="A1" s="487" t="s">
        <v>1113</v>
      </c>
    </row>
    <row r="2" spans="1:2" x14ac:dyDescent="0.25">
      <c r="A2" s="492" t="s">
        <v>1181</v>
      </c>
    </row>
    <row r="3" spans="1:2" x14ac:dyDescent="0.25">
      <c r="A3" s="478" t="s">
        <v>1114</v>
      </c>
    </row>
    <row r="4" spans="1:2" ht="16.5" thickBot="1" x14ac:dyDescent="0.3">
      <c r="A4" s="478" t="s">
        <v>1182</v>
      </c>
    </row>
    <row r="5" spans="1:2" ht="16.5" thickBot="1" x14ac:dyDescent="0.3">
      <c r="A5" s="422" t="s">
        <v>0</v>
      </c>
      <c r="B5" s="424" t="s">
        <v>654</v>
      </c>
    </row>
    <row r="6" spans="1:2" x14ac:dyDescent="0.25">
      <c r="A6" s="392" t="str">
        <f>'CASE INPUTS'!$B$10</f>
        <v>westrmt</v>
      </c>
      <c r="B6" s="411">
        <f>DATA!C646</f>
        <v>400</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0EDE14-65A1-4336-B109-C883CE1C747C}">
  <dimension ref="A1:F8"/>
  <sheetViews>
    <sheetView zoomScaleNormal="100" workbookViewId="0">
      <selection activeCell="A16" sqref="A16"/>
    </sheetView>
  </sheetViews>
  <sheetFormatPr defaultColWidth="9.140625" defaultRowHeight="15.75" x14ac:dyDescent="0.25"/>
  <cols>
    <col min="1" max="1" width="100.85546875" style="392" bestFit="1" customWidth="1"/>
    <col min="2" max="2" width="44.5703125" style="392" customWidth="1"/>
    <col min="3" max="3" width="14.28515625" style="392" bestFit="1" customWidth="1"/>
    <col min="4" max="4" width="18.85546875" style="392" bestFit="1" customWidth="1"/>
    <col min="5" max="5" width="64.28515625" style="392" bestFit="1" customWidth="1"/>
    <col min="6" max="6" width="26.85546875" style="392" customWidth="1"/>
    <col min="7" max="16384" width="9.140625" style="392"/>
  </cols>
  <sheetData>
    <row r="1" spans="1:6" ht="16.5" thickBot="1" x14ac:dyDescent="0.3">
      <c r="A1" s="487" t="s">
        <v>1042</v>
      </c>
      <c r="B1" s="480"/>
      <c r="C1" s="480"/>
      <c r="D1" s="480"/>
      <c r="E1" s="480"/>
      <c r="F1" s="480"/>
    </row>
    <row r="2" spans="1:6" x14ac:dyDescent="0.25">
      <c r="A2" s="478" t="s">
        <v>1044</v>
      </c>
      <c r="B2" s="480"/>
      <c r="C2" s="480"/>
      <c r="D2" s="480"/>
      <c r="E2" s="480"/>
      <c r="F2" s="480"/>
    </row>
    <row r="3" spans="1:6" x14ac:dyDescent="0.25">
      <c r="A3" s="478" t="s">
        <v>1080</v>
      </c>
      <c r="B3" s="480"/>
      <c r="C3" s="480"/>
      <c r="D3" s="480"/>
      <c r="E3" s="480"/>
      <c r="F3" s="480"/>
    </row>
    <row r="4" spans="1:6" x14ac:dyDescent="0.25">
      <c r="A4" s="478" t="s">
        <v>1079</v>
      </c>
      <c r="B4" s="480"/>
      <c r="C4" s="480"/>
      <c r="D4" s="480"/>
      <c r="E4" s="480"/>
      <c r="F4" s="480"/>
    </row>
    <row r="5" spans="1:6" x14ac:dyDescent="0.25">
      <c r="A5" s="478" t="s">
        <v>1085</v>
      </c>
      <c r="B5" s="480"/>
      <c r="C5" s="480"/>
      <c r="D5" s="480"/>
      <c r="E5" s="480"/>
      <c r="F5" s="479"/>
    </row>
    <row r="6" spans="1:6" ht="16.5" thickBot="1" x14ac:dyDescent="0.3">
      <c r="A6" s="478" t="s">
        <v>1045</v>
      </c>
      <c r="B6" s="480"/>
      <c r="C6" s="480"/>
      <c r="D6" s="480"/>
      <c r="E6" s="480"/>
      <c r="F6" s="479"/>
    </row>
    <row r="7" spans="1:6" ht="16.5" thickBot="1" x14ac:dyDescent="0.3">
      <c r="A7" s="422" t="s">
        <v>0</v>
      </c>
      <c r="B7" s="423" t="s">
        <v>649</v>
      </c>
      <c r="C7" s="423" t="s">
        <v>650</v>
      </c>
      <c r="D7" s="423" t="s">
        <v>651</v>
      </c>
      <c r="E7" s="423" t="s">
        <v>652</v>
      </c>
      <c r="F7" s="424" t="s">
        <v>653</v>
      </c>
    </row>
    <row r="8" spans="1:6" ht="17.25" x14ac:dyDescent="0.3">
      <c r="A8" s="392" t="str">
        <f>'CASE INPUTS'!$B$10</f>
        <v>westrmt</v>
      </c>
      <c r="B8" s="392" t="str">
        <f>'CASE INPUTS'!$B$13</f>
        <v>mtbank</v>
      </c>
      <c r="C8" s="467">
        <v>1925000</v>
      </c>
      <c r="D8" s="392">
        <v>420</v>
      </c>
      <c r="E8" s="392">
        <v>216</v>
      </c>
      <c r="F8" s="392" t="s">
        <v>1043</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54E48D-272C-44A2-9477-5BA1E33DC04D}">
  <dimension ref="A1:H7"/>
  <sheetViews>
    <sheetView workbookViewId="0">
      <selection activeCell="L16" sqref="L16"/>
    </sheetView>
  </sheetViews>
  <sheetFormatPr defaultColWidth="9.140625" defaultRowHeight="15.75" x14ac:dyDescent="0.25"/>
  <cols>
    <col min="1" max="1" width="9.140625" style="392"/>
    <col min="2" max="2" width="50.7109375" style="392" customWidth="1"/>
    <col min="3" max="3" width="15.85546875" style="392" customWidth="1"/>
    <col min="4" max="4" width="13.85546875" style="400" customWidth="1"/>
    <col min="5" max="5" width="9.42578125" style="400" bestFit="1" customWidth="1"/>
    <col min="6" max="6" width="15.140625" style="392" customWidth="1"/>
    <col min="7" max="7" width="19" style="400" customWidth="1"/>
    <col min="8" max="8" width="15.28515625" style="400" customWidth="1"/>
    <col min="9" max="16384" width="9.140625" style="392"/>
  </cols>
  <sheetData>
    <row r="1" spans="1:8" ht="16.5" thickBot="1" x14ac:dyDescent="0.3">
      <c r="B1" s="487" t="s">
        <v>1048</v>
      </c>
    </row>
    <row r="2" spans="1:8" x14ac:dyDescent="0.25">
      <c r="B2" s="478" t="s">
        <v>1049</v>
      </c>
    </row>
    <row r="3" spans="1:8" ht="16.5" thickBot="1" x14ac:dyDescent="0.3">
      <c r="B3" s="478" t="s">
        <v>1084</v>
      </c>
    </row>
    <row r="4" spans="1:8" ht="16.5" thickBot="1" x14ac:dyDescent="0.3">
      <c r="A4" s="422" t="s">
        <v>0</v>
      </c>
      <c r="B4" s="478" t="s">
        <v>1050</v>
      </c>
      <c r="C4" s="423" t="s">
        <v>684</v>
      </c>
      <c r="D4" s="430" t="s">
        <v>685</v>
      </c>
      <c r="E4" s="430" t="s">
        <v>686</v>
      </c>
      <c r="F4" s="423" t="s">
        <v>687</v>
      </c>
      <c r="G4" s="430" t="s">
        <v>688</v>
      </c>
      <c r="H4" s="442" t="s">
        <v>689</v>
      </c>
    </row>
    <row r="5" spans="1:8" x14ac:dyDescent="0.25">
      <c r="A5" s="392" t="str">
        <f>'CASE INPUTS'!$B$10</f>
        <v>westrmt</v>
      </c>
      <c r="B5" s="389" t="s">
        <v>690</v>
      </c>
      <c r="C5" s="392">
        <v>4</v>
      </c>
      <c r="D5" s="400">
        <f>'CASE INPUTS'!$B$8</f>
        <v>46199</v>
      </c>
      <c r="F5" s="392" t="s">
        <v>691</v>
      </c>
      <c r="G5" s="400">
        <f>IF(D5="", "", DATE(YEAR(D5), 12, 31))</f>
        <v>46387</v>
      </c>
      <c r="H5" s="400">
        <f>DATE(YEAR(G5) + 1, 2, 28)</f>
        <v>46446</v>
      </c>
    </row>
    <row r="6" spans="1:8" x14ac:dyDescent="0.25">
      <c r="A6" s="392" t="str">
        <f>'CASE INPUTS'!$B$10</f>
        <v>westrmt</v>
      </c>
      <c r="B6" s="389" t="s">
        <v>692</v>
      </c>
      <c r="C6" s="392">
        <v>30</v>
      </c>
      <c r="D6" s="400">
        <f>'CASE INPUTS'!$B$8</f>
        <v>46199</v>
      </c>
      <c r="F6" s="392" t="s">
        <v>693</v>
      </c>
      <c r="G6" s="400">
        <v>1</v>
      </c>
      <c r="H6" s="400">
        <f>'CASE INPUTS'!B8</f>
        <v>46199</v>
      </c>
    </row>
    <row r="7" spans="1:8" x14ac:dyDescent="0.25">
      <c r="A7" s="392" t="str">
        <f>'CASE INPUTS'!$B$10</f>
        <v>westrmt</v>
      </c>
      <c r="B7" s="389" t="s">
        <v>694</v>
      </c>
      <c r="C7" s="392">
        <v>33</v>
      </c>
      <c r="D7" s="400">
        <f>'CASE INPUTS'!$B$8</f>
        <v>46199</v>
      </c>
      <c r="F7" s="392" t="s">
        <v>693</v>
      </c>
      <c r="G7" s="400">
        <v>1</v>
      </c>
      <c r="H7" s="400">
        <f>'CASE INPUTS'!B8</f>
        <v>46199</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F40F16-EA34-4AC3-B19A-4E86829AC9A9}">
  <dimension ref="A1:F9"/>
  <sheetViews>
    <sheetView zoomScaleNormal="100" workbookViewId="0">
      <selection activeCell="E30" sqref="E28:F30"/>
    </sheetView>
  </sheetViews>
  <sheetFormatPr defaultColWidth="9.140625" defaultRowHeight="15.75" x14ac:dyDescent="0.25"/>
  <cols>
    <col min="1" max="1" width="102.7109375" style="392" bestFit="1" customWidth="1"/>
    <col min="2" max="2" width="6" style="392" bestFit="1" customWidth="1"/>
    <col min="3" max="16384" width="9.140625" style="392"/>
  </cols>
  <sheetData>
    <row r="1" spans="1:6" ht="16.5" thickBot="1" x14ac:dyDescent="0.3">
      <c r="A1" s="487" t="s">
        <v>1046</v>
      </c>
    </row>
    <row r="2" spans="1:6" x14ac:dyDescent="0.25">
      <c r="A2" s="499" t="s">
        <v>1047</v>
      </c>
    </row>
    <row r="3" spans="1:6" x14ac:dyDescent="0.25">
      <c r="A3" s="499" t="s">
        <v>1054</v>
      </c>
    </row>
    <row r="4" spans="1:6" ht="16.5" thickBot="1" x14ac:dyDescent="0.3">
      <c r="A4" s="478" t="s">
        <v>1035</v>
      </c>
      <c r="B4" s="498"/>
      <c r="C4" s="480"/>
      <c r="D4" s="480"/>
      <c r="E4" s="480"/>
    </row>
    <row r="5" spans="1:6" ht="16.5" thickBot="1" x14ac:dyDescent="0.3">
      <c r="A5" s="422" t="s">
        <v>714</v>
      </c>
      <c r="B5" s="497" t="s">
        <v>17</v>
      </c>
      <c r="C5" s="497" t="s">
        <v>715</v>
      </c>
      <c r="D5" s="497" t="s">
        <v>716</v>
      </c>
      <c r="E5" s="497" t="s">
        <v>717</v>
      </c>
      <c r="F5" s="424" t="s">
        <v>653</v>
      </c>
    </row>
    <row r="6" spans="1:6" x14ac:dyDescent="0.25">
      <c r="B6" s="443" t="s">
        <v>718</v>
      </c>
      <c r="C6" s="443">
        <v>-90</v>
      </c>
      <c r="D6" s="443">
        <v>42</v>
      </c>
      <c r="E6" s="443" t="s">
        <v>719</v>
      </c>
    </row>
    <row r="7" spans="1:6" x14ac:dyDescent="0.25">
      <c r="B7" s="443" t="s">
        <v>718</v>
      </c>
      <c r="C7" s="443">
        <v>-59</v>
      </c>
      <c r="D7" s="443">
        <v>42</v>
      </c>
      <c r="E7" s="443" t="s">
        <v>719</v>
      </c>
    </row>
    <row r="8" spans="1:6" x14ac:dyDescent="0.25">
      <c r="B8" s="443" t="s">
        <v>718</v>
      </c>
      <c r="C8" s="443">
        <v>-28</v>
      </c>
      <c r="D8" s="443">
        <v>42</v>
      </c>
      <c r="E8" s="443" t="s">
        <v>719</v>
      </c>
    </row>
    <row r="9" spans="1:6" x14ac:dyDescent="0.25">
      <c r="B9" s="443" t="s">
        <v>718</v>
      </c>
      <c r="C9" s="443">
        <v>-14</v>
      </c>
      <c r="D9" s="443">
        <v>42</v>
      </c>
      <c r="E9" s="443" t="s">
        <v>719</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66D93C-F4A6-435A-9590-FD03B4993EAA}">
  <sheetPr>
    <tabColor rgb="FFFF0000"/>
  </sheetPr>
  <dimension ref="A1:D34"/>
  <sheetViews>
    <sheetView zoomScaleNormal="100" workbookViewId="0">
      <selection activeCell="G3" sqref="G3"/>
    </sheetView>
  </sheetViews>
  <sheetFormatPr defaultRowHeight="15" x14ac:dyDescent="0.25"/>
  <cols>
    <col min="1" max="1" width="36.140625" customWidth="1"/>
    <col min="2" max="2" width="8.140625" customWidth="1"/>
    <col min="3" max="3" width="9.140625" style="484"/>
  </cols>
  <sheetData>
    <row r="1" spans="1:4" ht="33" customHeight="1" x14ac:dyDescent="0.25">
      <c r="A1" s="524" t="s">
        <v>1103</v>
      </c>
      <c r="B1" s="523"/>
      <c r="C1" s="484" t="b">
        <v>0</v>
      </c>
    </row>
    <row r="2" spans="1:4" ht="47.25" x14ac:dyDescent="0.25">
      <c r="A2" s="526" t="s">
        <v>1101</v>
      </c>
      <c r="B2" s="527"/>
    </row>
    <row r="3" spans="1:4" ht="15.75" x14ac:dyDescent="0.25">
      <c r="A3" s="528" t="s">
        <v>673</v>
      </c>
      <c r="B3" s="527"/>
    </row>
    <row r="4" spans="1:4" ht="15.75" x14ac:dyDescent="0.25">
      <c r="A4" s="528" t="s">
        <v>674</v>
      </c>
      <c r="B4" s="527"/>
    </row>
    <row r="5" spans="1:4" ht="15.75" x14ac:dyDescent="0.25">
      <c r="A5" s="528" t="s">
        <v>675</v>
      </c>
      <c r="B5" s="527"/>
    </row>
    <row r="6" spans="1:4" ht="15.75" x14ac:dyDescent="0.25">
      <c r="A6" s="528" t="s">
        <v>676</v>
      </c>
      <c r="B6" s="527"/>
    </row>
    <row r="7" spans="1:4" ht="15.75" x14ac:dyDescent="0.25">
      <c r="A7" s="528" t="s">
        <v>677</v>
      </c>
      <c r="B7" s="527"/>
    </row>
    <row r="8" spans="1:4" ht="15.75" x14ac:dyDescent="0.25">
      <c r="A8" s="528" t="s">
        <v>678</v>
      </c>
      <c r="B8" s="527"/>
      <c r="D8" s="531"/>
    </row>
    <row r="9" spans="1:4" ht="15.75" x14ac:dyDescent="0.25">
      <c r="A9" s="528" t="s">
        <v>679</v>
      </c>
      <c r="B9" s="527"/>
    </row>
    <row r="10" spans="1:4" ht="15.75" x14ac:dyDescent="0.25">
      <c r="A10" s="528" t="s">
        <v>680</v>
      </c>
      <c r="B10" s="527"/>
    </row>
    <row r="11" spans="1:4" ht="15.75" x14ac:dyDescent="0.25">
      <c r="A11" s="528" t="s">
        <v>681</v>
      </c>
      <c r="B11" s="527"/>
    </row>
    <row r="12" spans="1:4" ht="15.75" x14ac:dyDescent="0.25">
      <c r="A12" s="528" t="s">
        <v>682</v>
      </c>
      <c r="B12" s="527"/>
    </row>
    <row r="13" spans="1:4" ht="16.5" thickBot="1" x14ac:dyDescent="0.3">
      <c r="A13" s="529" t="s">
        <v>683</v>
      </c>
      <c r="B13" s="530"/>
    </row>
    <row r="14" spans="1:4" ht="15.75" x14ac:dyDescent="0.25">
      <c r="A14" s="392"/>
    </row>
    <row r="15" spans="1:4" ht="36.75" customHeight="1" x14ac:dyDescent="0.25">
      <c r="A15" s="524" t="s">
        <v>1089</v>
      </c>
      <c r="B15" s="522"/>
      <c r="C15" s="484" t="b">
        <v>0</v>
      </c>
    </row>
    <row r="16" spans="1:4" ht="96" customHeight="1" x14ac:dyDescent="0.25">
      <c r="A16" s="532" t="s">
        <v>1096</v>
      </c>
      <c r="B16" s="481"/>
    </row>
    <row r="17" spans="1:3" ht="78" customHeight="1" x14ac:dyDescent="0.25">
      <c r="A17" s="532" t="s">
        <v>1104</v>
      </c>
      <c r="B17" s="481"/>
    </row>
    <row r="18" spans="1:3" ht="99.75" customHeight="1" x14ac:dyDescent="0.25">
      <c r="A18" s="532" t="s">
        <v>1105</v>
      </c>
      <c r="B18" s="481"/>
    </row>
    <row r="19" spans="1:3" ht="47.25" x14ac:dyDescent="0.25">
      <c r="A19" s="532" t="s">
        <v>1095</v>
      </c>
      <c r="B19" s="481"/>
    </row>
    <row r="20" spans="1:3" ht="15.75" x14ac:dyDescent="0.25">
      <c r="A20" s="499" t="s">
        <v>1097</v>
      </c>
      <c r="B20" s="481"/>
    </row>
    <row r="21" spans="1:3" ht="63" x14ac:dyDescent="0.25">
      <c r="A21" s="532" t="s">
        <v>1102</v>
      </c>
      <c r="B21" s="481"/>
    </row>
    <row r="22" spans="1:3" ht="15.75" x14ac:dyDescent="0.25">
      <c r="A22" s="392"/>
    </row>
    <row r="23" spans="1:3" ht="30.75" customHeight="1" x14ac:dyDescent="0.25">
      <c r="A23" s="524" t="s">
        <v>1087</v>
      </c>
      <c r="B23" s="522"/>
      <c r="C23" s="484" t="b">
        <v>0</v>
      </c>
    </row>
    <row r="24" spans="1:3" ht="51.75" customHeight="1" x14ac:dyDescent="0.25">
      <c r="A24" s="533" t="s">
        <v>1088</v>
      </c>
      <c r="B24" s="481"/>
    </row>
    <row r="25" spans="1:3" ht="21.75" customHeight="1" x14ac:dyDescent="0.25">
      <c r="A25" s="521"/>
    </row>
    <row r="26" spans="1:3" ht="33" customHeight="1" x14ac:dyDescent="0.25">
      <c r="A26" s="538" t="s">
        <v>1090</v>
      </c>
      <c r="B26" s="522"/>
      <c r="C26" s="484" t="b">
        <v>0</v>
      </c>
    </row>
    <row r="27" spans="1:3" ht="33" customHeight="1" x14ac:dyDescent="0.25">
      <c r="A27" s="511" t="s">
        <v>1091</v>
      </c>
      <c r="B27" s="481"/>
    </row>
    <row r="28" spans="1:3" ht="33.75" customHeight="1" x14ac:dyDescent="0.25">
      <c r="A28" s="525" t="s">
        <v>1093</v>
      </c>
      <c r="B28" s="481"/>
    </row>
    <row r="29" spans="1:3" ht="29.25" customHeight="1" x14ac:dyDescent="0.25">
      <c r="A29" s="511" t="s">
        <v>1092</v>
      </c>
      <c r="B29" s="481"/>
    </row>
    <row r="30" spans="1:3" ht="15.75" x14ac:dyDescent="0.25">
      <c r="A30" s="392"/>
    </row>
    <row r="31" spans="1:3" ht="28.5" customHeight="1" x14ac:dyDescent="0.25">
      <c r="A31" s="538" t="s">
        <v>1094</v>
      </c>
      <c r="B31" s="522"/>
      <c r="C31" s="484" t="b">
        <v>0</v>
      </c>
    </row>
    <row r="32" spans="1:3" ht="28.5" customHeight="1" x14ac:dyDescent="0.25">
      <c r="A32" s="511" t="s">
        <v>1100</v>
      </c>
      <c r="B32" s="481"/>
    </row>
    <row r="33" spans="1:2" ht="27.75" customHeight="1" x14ac:dyDescent="0.25">
      <c r="A33" s="511" t="s">
        <v>1098</v>
      </c>
      <c r="B33" s="481"/>
    </row>
    <row r="34" spans="1:2" ht="30" customHeight="1" x14ac:dyDescent="0.25">
      <c r="A34" s="525" t="s">
        <v>1099</v>
      </c>
      <c r="B34" s="481"/>
    </row>
  </sheetData>
  <conditionalFormatting sqref="A1:B34">
    <cfRule type="expression" dxfId="0" priority="1">
      <formula>$C1=TRUE</formula>
    </cfRule>
  </conditionalFormatting>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21507" r:id="rId3" name="Check Box 3">
              <controlPr defaultSize="0" autoFill="0" autoLine="0" autoPict="0">
                <anchor moveWithCells="1">
                  <from>
                    <xdr:col>1</xdr:col>
                    <xdr:colOff>152400</xdr:colOff>
                    <xdr:row>0</xdr:row>
                    <xdr:rowOff>28575</xdr:rowOff>
                  </from>
                  <to>
                    <xdr:col>1</xdr:col>
                    <xdr:colOff>438150</xdr:colOff>
                    <xdr:row>0</xdr:row>
                    <xdr:rowOff>352425</xdr:rowOff>
                  </to>
                </anchor>
              </controlPr>
            </control>
          </mc:Choice>
        </mc:AlternateContent>
        <mc:AlternateContent xmlns:mc="http://schemas.openxmlformats.org/markup-compatibility/2006">
          <mc:Choice Requires="x14">
            <control shapeId="21508" r:id="rId4" name="Check Box 4">
              <controlPr defaultSize="0" autoFill="0" autoLine="0" autoPict="0">
                <anchor moveWithCells="1">
                  <from>
                    <xdr:col>1</xdr:col>
                    <xdr:colOff>152400</xdr:colOff>
                    <xdr:row>14</xdr:row>
                    <xdr:rowOff>57150</xdr:rowOff>
                  </from>
                  <to>
                    <xdr:col>1</xdr:col>
                    <xdr:colOff>447675</xdr:colOff>
                    <xdr:row>14</xdr:row>
                    <xdr:rowOff>381000</xdr:rowOff>
                  </to>
                </anchor>
              </controlPr>
            </control>
          </mc:Choice>
        </mc:AlternateContent>
        <mc:AlternateContent xmlns:mc="http://schemas.openxmlformats.org/markup-compatibility/2006">
          <mc:Choice Requires="x14">
            <control shapeId="21509" r:id="rId5" name="Check Box 5">
              <controlPr defaultSize="0" autoFill="0" autoLine="0" autoPict="0">
                <anchor moveWithCells="1">
                  <from>
                    <xdr:col>1</xdr:col>
                    <xdr:colOff>152400</xdr:colOff>
                    <xdr:row>22</xdr:row>
                    <xdr:rowOff>38100</xdr:rowOff>
                  </from>
                  <to>
                    <xdr:col>1</xdr:col>
                    <xdr:colOff>447675</xdr:colOff>
                    <xdr:row>22</xdr:row>
                    <xdr:rowOff>371475</xdr:rowOff>
                  </to>
                </anchor>
              </controlPr>
            </control>
          </mc:Choice>
        </mc:AlternateContent>
        <mc:AlternateContent xmlns:mc="http://schemas.openxmlformats.org/markup-compatibility/2006">
          <mc:Choice Requires="x14">
            <control shapeId="21510" r:id="rId6" name="Check Box 6">
              <controlPr defaultSize="0" autoFill="0" autoLine="0" autoPict="0">
                <anchor moveWithCells="1">
                  <from>
                    <xdr:col>1</xdr:col>
                    <xdr:colOff>161925</xdr:colOff>
                    <xdr:row>25</xdr:row>
                    <xdr:rowOff>38100</xdr:rowOff>
                  </from>
                  <to>
                    <xdr:col>1</xdr:col>
                    <xdr:colOff>447675</xdr:colOff>
                    <xdr:row>25</xdr:row>
                    <xdr:rowOff>371475</xdr:rowOff>
                  </to>
                </anchor>
              </controlPr>
            </control>
          </mc:Choice>
        </mc:AlternateContent>
        <mc:AlternateContent xmlns:mc="http://schemas.openxmlformats.org/markup-compatibility/2006">
          <mc:Choice Requires="x14">
            <control shapeId="21511" r:id="rId7" name="Check Box 7">
              <controlPr defaultSize="0" autoFill="0" autoLine="0" autoPict="0">
                <anchor moveWithCells="1">
                  <from>
                    <xdr:col>1</xdr:col>
                    <xdr:colOff>161925</xdr:colOff>
                    <xdr:row>30</xdr:row>
                    <xdr:rowOff>19050</xdr:rowOff>
                  </from>
                  <to>
                    <xdr:col>1</xdr:col>
                    <xdr:colOff>447675</xdr:colOff>
                    <xdr:row>30</xdr:row>
                    <xdr:rowOff>352425</xdr:rowOff>
                  </to>
                </anchor>
              </controlPr>
            </control>
          </mc:Choice>
        </mc:AlternateContent>
      </controls>
    </mc:Choice>
  </mc:AlternateConten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9CE8A0-D899-4EDC-B111-44497F16DC4C}">
  <sheetPr>
    <tabColor rgb="FF002060"/>
  </sheetPr>
  <dimension ref="A1:I208"/>
  <sheetViews>
    <sheetView topLeftCell="A10" zoomScale="85" zoomScaleNormal="85" workbookViewId="0">
      <selection activeCell="C123" sqref="C123:C124"/>
    </sheetView>
  </sheetViews>
  <sheetFormatPr defaultColWidth="9.140625" defaultRowHeight="15.75" x14ac:dyDescent="0.25"/>
  <cols>
    <col min="1" max="1" width="16.7109375" style="445" customWidth="1"/>
    <col min="2" max="2" width="21.7109375" style="445" customWidth="1"/>
    <col min="3" max="3" width="138.140625" style="445" bestFit="1" customWidth="1"/>
    <col min="4" max="4" width="38.7109375" style="445" bestFit="1" customWidth="1"/>
    <col min="5" max="5" width="18.7109375" style="445" bestFit="1" customWidth="1"/>
    <col min="6" max="6" width="39.42578125" style="445" bestFit="1" customWidth="1"/>
    <col min="7" max="7" width="70.42578125" style="445" bestFit="1" customWidth="1"/>
    <col min="8" max="8" width="78.85546875" style="445" bestFit="1" customWidth="1"/>
    <col min="9" max="9" width="27.28515625" style="445" bestFit="1" customWidth="1"/>
    <col min="10" max="16384" width="9.140625" style="445"/>
  </cols>
  <sheetData>
    <row r="1" spans="1:9" x14ac:dyDescent="0.25">
      <c r="A1" s="444" t="s">
        <v>740</v>
      </c>
      <c r="B1" s="444" t="s">
        <v>741</v>
      </c>
      <c r="C1" s="444" t="s">
        <v>742</v>
      </c>
      <c r="D1" s="444" t="s">
        <v>743</v>
      </c>
      <c r="E1" s="444" t="s">
        <v>744</v>
      </c>
      <c r="F1" s="444" t="s">
        <v>745</v>
      </c>
      <c r="G1" s="444" t="s">
        <v>746</v>
      </c>
      <c r="H1" s="444" t="s">
        <v>747</v>
      </c>
      <c r="I1" s="444" t="s">
        <v>748</v>
      </c>
    </row>
    <row r="2" spans="1:9" x14ac:dyDescent="0.25">
      <c r="A2" s="446"/>
      <c r="B2" s="446"/>
      <c r="C2" s="446"/>
      <c r="D2" s="446"/>
      <c r="E2" s="447"/>
      <c r="F2" s="447"/>
      <c r="G2" s="447"/>
      <c r="H2" s="447"/>
      <c r="I2" s="447"/>
    </row>
    <row r="3" spans="1:9" x14ac:dyDescent="0.25">
      <c r="A3" s="446"/>
      <c r="B3" s="446" t="s">
        <v>749</v>
      </c>
      <c r="C3" s="446"/>
      <c r="D3" s="448" t="s">
        <v>750</v>
      </c>
      <c r="E3" s="449" t="s">
        <v>751</v>
      </c>
      <c r="F3" s="449" t="s">
        <v>0</v>
      </c>
      <c r="G3" s="449"/>
      <c r="H3" s="446" t="s">
        <v>752</v>
      </c>
      <c r="I3" s="446" t="s">
        <v>753</v>
      </c>
    </row>
    <row r="4" spans="1:9" x14ac:dyDescent="0.25">
      <c r="A4" s="583"/>
      <c r="B4" s="583"/>
      <c r="C4" s="590"/>
      <c r="D4" s="589"/>
      <c r="E4" s="586" t="s">
        <v>751</v>
      </c>
      <c r="F4" s="586" t="s">
        <v>711</v>
      </c>
      <c r="G4" s="449" t="s">
        <v>754</v>
      </c>
      <c r="H4" s="583" t="s">
        <v>752</v>
      </c>
      <c r="I4" s="583" t="s">
        <v>760</v>
      </c>
    </row>
    <row r="5" spans="1:9" x14ac:dyDescent="0.25">
      <c r="A5" s="583"/>
      <c r="B5" s="583"/>
      <c r="C5" s="590"/>
      <c r="D5" s="589"/>
      <c r="E5" s="586"/>
      <c r="F5" s="586"/>
      <c r="G5" s="451"/>
      <c r="H5" s="583"/>
      <c r="I5" s="583"/>
    </row>
    <row r="6" spans="1:9" x14ac:dyDescent="0.25">
      <c r="A6" s="583"/>
      <c r="B6" s="583"/>
      <c r="C6" s="590"/>
      <c r="D6" s="589"/>
      <c r="E6" s="586"/>
      <c r="F6" s="586"/>
      <c r="G6" s="449" t="s">
        <v>755</v>
      </c>
      <c r="H6" s="583"/>
      <c r="I6" s="583"/>
    </row>
    <row r="7" spans="1:9" x14ac:dyDescent="0.25">
      <c r="A7" s="583"/>
      <c r="B7" s="583"/>
      <c r="C7" s="590"/>
      <c r="D7" s="589"/>
      <c r="E7" s="586"/>
      <c r="F7" s="586"/>
      <c r="G7" s="449" t="s">
        <v>756</v>
      </c>
      <c r="H7" s="583"/>
      <c r="I7" s="583"/>
    </row>
    <row r="8" spans="1:9" x14ac:dyDescent="0.25">
      <c r="A8" s="583"/>
      <c r="B8" s="583"/>
      <c r="C8" s="590"/>
      <c r="D8" s="589"/>
      <c r="E8" s="586"/>
      <c r="F8" s="586"/>
      <c r="G8" s="449" t="s">
        <v>757</v>
      </c>
      <c r="H8" s="583"/>
      <c r="I8" s="583"/>
    </row>
    <row r="9" spans="1:9" x14ac:dyDescent="0.25">
      <c r="A9" s="583"/>
      <c r="B9" s="583"/>
      <c r="C9" s="590"/>
      <c r="D9" s="589"/>
      <c r="E9" s="586"/>
      <c r="F9" s="586"/>
      <c r="G9" s="449" t="s">
        <v>758</v>
      </c>
      <c r="H9" s="583"/>
      <c r="I9" s="583"/>
    </row>
    <row r="10" spans="1:9" x14ac:dyDescent="0.25">
      <c r="A10" s="583"/>
      <c r="B10" s="583"/>
      <c r="C10" s="590"/>
      <c r="D10" s="589"/>
      <c r="E10" s="586"/>
      <c r="F10" s="586"/>
      <c r="G10" s="449" t="s">
        <v>759</v>
      </c>
      <c r="H10" s="583"/>
      <c r="I10" s="583"/>
    </row>
    <row r="11" spans="1:9" x14ac:dyDescent="0.25">
      <c r="A11" s="446"/>
      <c r="B11" s="446"/>
      <c r="C11" s="450" t="s">
        <v>761</v>
      </c>
      <c r="D11" s="448"/>
      <c r="E11" s="449" t="s">
        <v>751</v>
      </c>
      <c r="F11" s="449" t="s">
        <v>712</v>
      </c>
      <c r="G11" s="449"/>
      <c r="H11" s="446" t="s">
        <v>752</v>
      </c>
      <c r="I11" s="446" t="s">
        <v>762</v>
      </c>
    </row>
    <row r="12" spans="1:9" x14ac:dyDescent="0.25">
      <c r="A12" s="446"/>
      <c r="B12" s="446"/>
      <c r="C12" s="446"/>
      <c r="D12" s="448"/>
      <c r="E12" s="449"/>
      <c r="F12" s="449"/>
      <c r="G12" s="449"/>
      <c r="H12" s="446"/>
      <c r="I12" s="446"/>
    </row>
    <row r="13" spans="1:9" x14ac:dyDescent="0.25">
      <c r="A13" s="446"/>
      <c r="B13" s="446"/>
      <c r="C13" s="446"/>
      <c r="D13" s="448"/>
      <c r="E13" s="449"/>
      <c r="F13" s="449"/>
      <c r="G13" s="449"/>
      <c r="H13" s="446"/>
      <c r="I13" s="446"/>
    </row>
    <row r="14" spans="1:9" x14ac:dyDescent="0.25">
      <c r="A14" s="584"/>
      <c r="B14" s="583"/>
      <c r="C14" s="583"/>
      <c r="D14" s="448" t="s">
        <v>763</v>
      </c>
      <c r="E14" s="586" t="s">
        <v>765</v>
      </c>
      <c r="F14" s="586" t="s">
        <v>0</v>
      </c>
      <c r="G14" s="586"/>
      <c r="H14" s="583" t="s">
        <v>766</v>
      </c>
      <c r="I14" s="583" t="s">
        <v>767</v>
      </c>
    </row>
    <row r="15" spans="1:9" x14ac:dyDescent="0.25">
      <c r="A15" s="584"/>
      <c r="B15" s="583"/>
      <c r="C15" s="583"/>
      <c r="D15" s="448" t="s">
        <v>764</v>
      </c>
      <c r="E15" s="586"/>
      <c r="F15" s="586"/>
      <c r="G15" s="586"/>
      <c r="H15" s="583"/>
      <c r="I15" s="583"/>
    </row>
    <row r="16" spans="1:9" x14ac:dyDescent="0.25">
      <c r="A16" s="584"/>
      <c r="B16" s="583"/>
      <c r="C16" s="446" t="s">
        <v>768</v>
      </c>
      <c r="D16" s="589"/>
      <c r="E16" s="586" t="s">
        <v>765</v>
      </c>
      <c r="F16" s="586" t="s">
        <v>6</v>
      </c>
      <c r="G16" s="586"/>
      <c r="H16" s="583" t="s">
        <v>766</v>
      </c>
      <c r="I16" s="583" t="s">
        <v>770</v>
      </c>
    </row>
    <row r="17" spans="1:9" x14ac:dyDescent="0.25">
      <c r="A17" s="584"/>
      <c r="B17" s="583"/>
      <c r="C17" s="446" t="s">
        <v>769</v>
      </c>
      <c r="D17" s="589"/>
      <c r="E17" s="586"/>
      <c r="F17" s="586"/>
      <c r="G17" s="586"/>
      <c r="H17" s="583"/>
      <c r="I17" s="583"/>
    </row>
    <row r="18" spans="1:9" x14ac:dyDescent="0.25">
      <c r="A18" s="452"/>
      <c r="B18" s="446"/>
      <c r="C18" s="446" t="s">
        <v>771</v>
      </c>
      <c r="D18" s="448"/>
      <c r="E18" s="449" t="s">
        <v>765</v>
      </c>
      <c r="F18" s="449" t="s">
        <v>7</v>
      </c>
      <c r="G18" s="449" t="s">
        <v>772</v>
      </c>
      <c r="H18" s="446" t="s">
        <v>766</v>
      </c>
      <c r="I18" s="446" t="s">
        <v>773</v>
      </c>
    </row>
    <row r="19" spans="1:9" x14ac:dyDescent="0.25">
      <c r="A19" s="452"/>
      <c r="B19" s="446"/>
      <c r="C19" s="446" t="s">
        <v>1013</v>
      </c>
      <c r="D19" s="448"/>
      <c r="E19" s="449" t="s">
        <v>765</v>
      </c>
      <c r="F19" s="449" t="s">
        <v>8</v>
      </c>
      <c r="G19" s="449" t="s">
        <v>772</v>
      </c>
      <c r="H19" s="446" t="s">
        <v>766</v>
      </c>
      <c r="I19" s="446" t="s">
        <v>774</v>
      </c>
    </row>
    <row r="20" spans="1:9" x14ac:dyDescent="0.25">
      <c r="A20" s="452"/>
      <c r="B20" s="446"/>
      <c r="C20" s="446"/>
      <c r="D20" s="448"/>
      <c r="E20" s="449" t="s">
        <v>765</v>
      </c>
      <c r="F20" s="449" t="s">
        <v>9</v>
      </c>
      <c r="G20" s="449" t="s">
        <v>775</v>
      </c>
      <c r="H20" s="446" t="s">
        <v>766</v>
      </c>
      <c r="I20" s="446" t="s">
        <v>776</v>
      </c>
    </row>
    <row r="21" spans="1:9" x14ac:dyDescent="0.25">
      <c r="A21" s="452"/>
      <c r="B21" s="446"/>
      <c r="C21" s="446"/>
      <c r="D21" s="448"/>
      <c r="E21" s="453"/>
      <c r="F21" s="464"/>
      <c r="G21" s="464"/>
      <c r="H21" s="453"/>
      <c r="I21" s="453"/>
    </row>
    <row r="22" spans="1:9" x14ac:dyDescent="0.25">
      <c r="A22" s="452"/>
      <c r="B22" s="446"/>
      <c r="C22" s="446"/>
      <c r="D22" s="448" t="s">
        <v>777</v>
      </c>
      <c r="E22" s="449" t="s">
        <v>778</v>
      </c>
      <c r="F22" s="449" t="s">
        <v>0</v>
      </c>
      <c r="G22" s="449"/>
      <c r="H22" s="446" t="s">
        <v>779</v>
      </c>
      <c r="I22" s="446" t="s">
        <v>767</v>
      </c>
    </row>
    <row r="23" spans="1:9" x14ac:dyDescent="0.25">
      <c r="A23" s="452"/>
      <c r="B23" s="446" t="s">
        <v>749</v>
      </c>
      <c r="C23" s="446" t="s">
        <v>780</v>
      </c>
      <c r="D23" s="448"/>
      <c r="E23" s="454"/>
      <c r="F23" s="449" t="s">
        <v>10</v>
      </c>
      <c r="G23" s="449"/>
      <c r="H23" s="446" t="s">
        <v>781</v>
      </c>
      <c r="I23" s="450" t="s">
        <v>781</v>
      </c>
    </row>
    <row r="24" spans="1:9" x14ac:dyDescent="0.25">
      <c r="A24" s="452"/>
      <c r="B24" s="446" t="s">
        <v>782</v>
      </c>
      <c r="C24" s="446"/>
      <c r="D24" s="448"/>
      <c r="E24" s="454"/>
      <c r="F24" s="449" t="s">
        <v>11</v>
      </c>
      <c r="G24" s="449" t="s">
        <v>783</v>
      </c>
      <c r="H24" s="446" t="s">
        <v>784</v>
      </c>
      <c r="I24" s="446" t="s">
        <v>785</v>
      </c>
    </row>
    <row r="25" spans="1:9" x14ac:dyDescent="0.25">
      <c r="A25" s="452"/>
      <c r="B25" s="446"/>
      <c r="C25" s="446" t="s">
        <v>1014</v>
      </c>
      <c r="D25" s="448"/>
      <c r="E25" s="454"/>
      <c r="F25" s="449" t="s">
        <v>12</v>
      </c>
      <c r="G25" s="449"/>
      <c r="H25" s="446" t="s">
        <v>786</v>
      </c>
      <c r="I25" s="446" t="s">
        <v>315</v>
      </c>
    </row>
    <row r="26" spans="1:9" ht="31.5" x14ac:dyDescent="0.25">
      <c r="A26" s="452"/>
      <c r="B26" s="446"/>
      <c r="C26" s="446" t="s">
        <v>787</v>
      </c>
      <c r="D26" s="448"/>
      <c r="E26" s="454"/>
      <c r="F26" s="449" t="s">
        <v>13</v>
      </c>
      <c r="G26" s="449"/>
      <c r="H26" s="446" t="s">
        <v>786</v>
      </c>
      <c r="I26" s="450" t="s">
        <v>788</v>
      </c>
    </row>
    <row r="27" spans="1:9" x14ac:dyDescent="0.25">
      <c r="A27" s="452"/>
      <c r="B27" s="446"/>
      <c r="C27" s="446" t="s">
        <v>789</v>
      </c>
      <c r="D27" s="448"/>
      <c r="E27" s="454"/>
      <c r="F27" s="449" t="s">
        <v>14</v>
      </c>
      <c r="G27" s="449"/>
      <c r="H27" s="446" t="s">
        <v>790</v>
      </c>
      <c r="I27" s="446" t="s">
        <v>791</v>
      </c>
    </row>
    <row r="28" spans="1:9" x14ac:dyDescent="0.25">
      <c r="A28" s="452"/>
      <c r="B28" s="446"/>
      <c r="C28" s="446" t="s">
        <v>792</v>
      </c>
      <c r="D28" s="448"/>
      <c r="E28" s="454"/>
      <c r="F28" s="449" t="s">
        <v>15</v>
      </c>
      <c r="G28" s="449"/>
      <c r="H28" s="446" t="s">
        <v>786</v>
      </c>
      <c r="I28" s="446" t="s">
        <v>793</v>
      </c>
    </row>
    <row r="29" spans="1:9" x14ac:dyDescent="0.25">
      <c r="A29" s="452"/>
      <c r="B29" s="446"/>
      <c r="C29" s="446"/>
      <c r="D29" s="448"/>
      <c r="E29" s="453"/>
      <c r="F29" s="460"/>
      <c r="G29" s="460"/>
      <c r="H29" s="453"/>
      <c r="I29" s="453"/>
    </row>
    <row r="30" spans="1:9" x14ac:dyDescent="0.25">
      <c r="A30" s="452"/>
      <c r="B30" s="446" t="s">
        <v>749</v>
      </c>
      <c r="C30" s="446"/>
      <c r="D30" s="448" t="s">
        <v>794</v>
      </c>
      <c r="E30" s="449" t="s">
        <v>795</v>
      </c>
      <c r="F30" s="449" t="s">
        <v>0</v>
      </c>
      <c r="G30" s="449"/>
      <c r="H30" s="455" t="s">
        <v>796</v>
      </c>
      <c r="I30" s="446"/>
    </row>
    <row r="31" spans="1:9" x14ac:dyDescent="0.25">
      <c r="A31" s="584"/>
      <c r="B31" s="583"/>
      <c r="C31" s="583" t="s">
        <v>797</v>
      </c>
      <c r="D31" s="589"/>
      <c r="E31" s="587"/>
      <c r="F31" s="586" t="s">
        <v>17</v>
      </c>
      <c r="G31" s="456" t="s">
        <v>798</v>
      </c>
      <c r="H31" s="583" t="s">
        <v>807</v>
      </c>
      <c r="I31" s="583" t="s">
        <v>194</v>
      </c>
    </row>
    <row r="32" spans="1:9" x14ac:dyDescent="0.25">
      <c r="A32" s="584"/>
      <c r="B32" s="583"/>
      <c r="C32" s="583"/>
      <c r="D32" s="589"/>
      <c r="E32" s="587"/>
      <c r="F32" s="586"/>
      <c r="G32" s="456" t="s">
        <v>799</v>
      </c>
      <c r="H32" s="583"/>
      <c r="I32" s="583"/>
    </row>
    <row r="33" spans="1:9" x14ac:dyDescent="0.25">
      <c r="A33" s="584"/>
      <c r="B33" s="583"/>
      <c r="C33" s="583"/>
      <c r="D33" s="589"/>
      <c r="E33" s="587"/>
      <c r="F33" s="586"/>
      <c r="G33" s="456" t="s">
        <v>800</v>
      </c>
      <c r="H33" s="583"/>
      <c r="I33" s="583"/>
    </row>
    <row r="34" spans="1:9" x14ac:dyDescent="0.25">
      <c r="A34" s="584"/>
      <c r="B34" s="583"/>
      <c r="C34" s="583"/>
      <c r="D34" s="589"/>
      <c r="E34" s="587"/>
      <c r="F34" s="586"/>
      <c r="G34" s="456" t="s">
        <v>801</v>
      </c>
      <c r="H34" s="583"/>
      <c r="I34" s="583"/>
    </row>
    <row r="35" spans="1:9" x14ac:dyDescent="0.25">
      <c r="A35" s="584"/>
      <c r="B35" s="583"/>
      <c r="C35" s="583"/>
      <c r="D35" s="589"/>
      <c r="E35" s="587"/>
      <c r="F35" s="586"/>
      <c r="G35" s="457"/>
      <c r="H35" s="583"/>
      <c r="I35" s="583"/>
    </row>
    <row r="36" spans="1:9" x14ac:dyDescent="0.25">
      <c r="A36" s="584"/>
      <c r="B36" s="583"/>
      <c r="C36" s="583"/>
      <c r="D36" s="589"/>
      <c r="E36" s="587"/>
      <c r="F36" s="586"/>
      <c r="G36" s="457"/>
      <c r="H36" s="583"/>
      <c r="I36" s="583"/>
    </row>
    <row r="37" spans="1:9" x14ac:dyDescent="0.25">
      <c r="A37" s="584"/>
      <c r="B37" s="583"/>
      <c r="C37" s="583"/>
      <c r="D37" s="589"/>
      <c r="E37" s="587"/>
      <c r="F37" s="586"/>
      <c r="G37" s="456" t="s">
        <v>802</v>
      </c>
      <c r="H37" s="583"/>
      <c r="I37" s="583"/>
    </row>
    <row r="38" spans="1:9" x14ac:dyDescent="0.25">
      <c r="A38" s="584"/>
      <c r="B38" s="583"/>
      <c r="C38" s="583"/>
      <c r="D38" s="589"/>
      <c r="E38" s="587"/>
      <c r="F38" s="586"/>
      <c r="G38" s="456" t="s">
        <v>803</v>
      </c>
      <c r="H38" s="583"/>
      <c r="I38" s="583"/>
    </row>
    <row r="39" spans="1:9" x14ac:dyDescent="0.25">
      <c r="A39" s="584"/>
      <c r="B39" s="583"/>
      <c r="C39" s="583"/>
      <c r="D39" s="589"/>
      <c r="E39" s="587"/>
      <c r="F39" s="586"/>
      <c r="G39" s="456" t="s">
        <v>804</v>
      </c>
      <c r="H39" s="583"/>
      <c r="I39" s="583"/>
    </row>
    <row r="40" spans="1:9" x14ac:dyDescent="0.25">
      <c r="A40" s="584"/>
      <c r="B40" s="583"/>
      <c r="C40" s="583"/>
      <c r="D40" s="589"/>
      <c r="E40" s="587"/>
      <c r="F40" s="586"/>
      <c r="G40" s="456" t="s">
        <v>805</v>
      </c>
      <c r="H40" s="583"/>
      <c r="I40" s="583"/>
    </row>
    <row r="41" spans="1:9" x14ac:dyDescent="0.25">
      <c r="A41" s="584"/>
      <c r="B41" s="583"/>
      <c r="C41" s="583"/>
      <c r="D41" s="589"/>
      <c r="E41" s="587"/>
      <c r="F41" s="586"/>
      <c r="G41" s="457"/>
      <c r="H41" s="583"/>
      <c r="I41" s="583"/>
    </row>
    <row r="42" spans="1:9" ht="31.5" x14ac:dyDescent="0.25">
      <c r="A42" s="584"/>
      <c r="B42" s="583"/>
      <c r="C42" s="583"/>
      <c r="D42" s="589"/>
      <c r="E42" s="587"/>
      <c r="F42" s="586"/>
      <c r="G42" s="456" t="s">
        <v>806</v>
      </c>
      <c r="H42" s="583"/>
      <c r="I42" s="583"/>
    </row>
    <row r="43" spans="1:9" x14ac:dyDescent="0.25">
      <c r="A43" s="452"/>
      <c r="B43" s="446"/>
      <c r="C43" s="446" t="s">
        <v>808</v>
      </c>
      <c r="D43" s="452"/>
      <c r="E43" s="454"/>
      <c r="F43" s="449" t="s">
        <v>18</v>
      </c>
      <c r="G43" s="449"/>
      <c r="H43" s="446" t="s">
        <v>807</v>
      </c>
      <c r="I43" s="446" t="s">
        <v>809</v>
      </c>
    </row>
    <row r="44" spans="1:9" x14ac:dyDescent="0.25">
      <c r="A44" s="452"/>
      <c r="B44" s="446"/>
      <c r="C44" s="446" t="s">
        <v>810</v>
      </c>
      <c r="D44" s="452"/>
      <c r="E44" s="454"/>
      <c r="F44" s="449" t="s">
        <v>19</v>
      </c>
      <c r="G44" s="449"/>
      <c r="H44" s="446" t="s">
        <v>807</v>
      </c>
      <c r="I44" s="446" t="s">
        <v>811</v>
      </c>
    </row>
    <row r="45" spans="1:9" x14ac:dyDescent="0.25">
      <c r="A45" s="452"/>
      <c r="B45" s="446"/>
      <c r="C45" s="446" t="s">
        <v>812</v>
      </c>
      <c r="D45" s="452"/>
      <c r="E45" s="454"/>
      <c r="F45" s="449" t="s">
        <v>20</v>
      </c>
      <c r="G45" s="449"/>
      <c r="H45" s="446" t="s">
        <v>807</v>
      </c>
      <c r="I45" s="446" t="s">
        <v>813</v>
      </c>
    </row>
    <row r="46" spans="1:9" x14ac:dyDescent="0.25">
      <c r="A46" s="452"/>
      <c r="B46" s="446"/>
      <c r="C46" s="446" t="s">
        <v>814</v>
      </c>
      <c r="D46" s="452"/>
      <c r="E46" s="454"/>
      <c r="F46" s="449" t="s">
        <v>21</v>
      </c>
      <c r="G46" s="449"/>
      <c r="H46" s="446" t="s">
        <v>807</v>
      </c>
      <c r="I46" s="446" t="s">
        <v>815</v>
      </c>
    </row>
    <row r="47" spans="1:9" x14ac:dyDescent="0.25">
      <c r="A47" s="452"/>
      <c r="B47" s="446"/>
      <c r="C47" s="446" t="s">
        <v>816</v>
      </c>
      <c r="D47" s="452"/>
      <c r="E47" s="454"/>
      <c r="F47" s="449" t="s">
        <v>22</v>
      </c>
      <c r="G47" s="449"/>
      <c r="H47" s="446" t="s">
        <v>807</v>
      </c>
      <c r="I47" s="446" t="s">
        <v>817</v>
      </c>
    </row>
    <row r="48" spans="1:9" x14ac:dyDescent="0.25">
      <c r="A48" s="452"/>
      <c r="B48" s="446" t="s">
        <v>749</v>
      </c>
      <c r="C48" s="446" t="s">
        <v>780</v>
      </c>
      <c r="D48" s="452"/>
      <c r="E48" s="454"/>
      <c r="F48" s="449" t="s">
        <v>23</v>
      </c>
      <c r="G48" s="449"/>
      <c r="H48" s="455" t="s">
        <v>796</v>
      </c>
      <c r="I48" s="455"/>
    </row>
    <row r="49" spans="1:9" x14ac:dyDescent="0.25">
      <c r="A49" s="452"/>
      <c r="B49" s="446"/>
      <c r="C49" s="446" t="s">
        <v>818</v>
      </c>
      <c r="D49" s="452"/>
      <c r="E49" s="454"/>
      <c r="F49" s="449" t="s">
        <v>24</v>
      </c>
      <c r="G49" s="449"/>
      <c r="H49" s="455" t="s">
        <v>796</v>
      </c>
      <c r="I49" s="455"/>
    </row>
    <row r="50" spans="1:9" x14ac:dyDescent="0.25">
      <c r="A50" s="452"/>
      <c r="B50" s="446"/>
      <c r="C50" s="446" t="s">
        <v>819</v>
      </c>
      <c r="D50" s="452"/>
      <c r="E50" s="454"/>
      <c r="F50" s="449" t="s">
        <v>25</v>
      </c>
      <c r="G50" s="449"/>
      <c r="H50" s="455" t="s">
        <v>796</v>
      </c>
      <c r="I50" s="455"/>
    </row>
    <row r="51" spans="1:9" x14ac:dyDescent="0.25">
      <c r="A51" s="452"/>
      <c r="B51" s="446"/>
      <c r="C51" s="446" t="s">
        <v>820</v>
      </c>
      <c r="D51" s="452"/>
      <c r="E51" s="454"/>
      <c r="F51" s="449" t="s">
        <v>26</v>
      </c>
      <c r="G51" s="449"/>
      <c r="H51" s="446" t="s">
        <v>821</v>
      </c>
      <c r="I51" s="446" t="s">
        <v>822</v>
      </c>
    </row>
    <row r="52" spans="1:9" x14ac:dyDescent="0.25">
      <c r="A52" s="452"/>
      <c r="B52" s="446"/>
      <c r="C52" s="446"/>
      <c r="D52" s="452"/>
      <c r="E52" s="454"/>
      <c r="F52" s="449" t="s">
        <v>27</v>
      </c>
      <c r="G52" s="449"/>
      <c r="H52" s="446" t="s">
        <v>821</v>
      </c>
      <c r="I52" s="446" t="s">
        <v>785</v>
      </c>
    </row>
    <row r="53" spans="1:9" x14ac:dyDescent="0.25">
      <c r="A53" s="452"/>
      <c r="B53" s="446"/>
      <c r="C53" s="446"/>
      <c r="D53" s="452"/>
      <c r="E53" s="458" t="s">
        <v>823</v>
      </c>
      <c r="F53" s="465" t="s">
        <v>0</v>
      </c>
      <c r="G53" s="465" t="s">
        <v>824</v>
      </c>
      <c r="H53" s="455" t="s">
        <v>825</v>
      </c>
      <c r="I53" s="455" t="s">
        <v>767</v>
      </c>
    </row>
    <row r="54" spans="1:9" x14ac:dyDescent="0.25">
      <c r="A54" s="452"/>
      <c r="B54" s="446"/>
      <c r="C54" s="446"/>
      <c r="D54" s="452"/>
      <c r="E54" s="455"/>
      <c r="F54" s="465" t="s">
        <v>12</v>
      </c>
      <c r="G54" s="465" t="s">
        <v>824</v>
      </c>
      <c r="H54" s="455" t="s">
        <v>825</v>
      </c>
      <c r="I54" s="455" t="s">
        <v>315</v>
      </c>
    </row>
    <row r="55" spans="1:9" x14ac:dyDescent="0.25">
      <c r="A55" s="452"/>
      <c r="B55" s="446"/>
      <c r="C55" s="446"/>
      <c r="D55" s="452"/>
      <c r="E55" s="455"/>
      <c r="F55" s="465" t="s">
        <v>826</v>
      </c>
      <c r="G55" s="465" t="s">
        <v>827</v>
      </c>
      <c r="H55" s="455" t="s">
        <v>825</v>
      </c>
      <c r="I55" s="455" t="s">
        <v>828</v>
      </c>
    </row>
    <row r="56" spans="1:9" x14ac:dyDescent="0.25">
      <c r="A56" s="452"/>
      <c r="B56" s="446"/>
      <c r="C56" s="446"/>
      <c r="D56" s="452"/>
      <c r="E56" s="455"/>
      <c r="F56" s="465" t="s">
        <v>653</v>
      </c>
      <c r="G56" s="465" t="s">
        <v>827</v>
      </c>
      <c r="H56" s="455" t="s">
        <v>825</v>
      </c>
      <c r="I56" s="455" t="s">
        <v>829</v>
      </c>
    </row>
    <row r="57" spans="1:9" x14ac:dyDescent="0.25">
      <c r="A57" s="452"/>
      <c r="B57" s="446"/>
      <c r="C57" s="446"/>
      <c r="D57" s="452"/>
      <c r="E57" s="458" t="s">
        <v>830</v>
      </c>
      <c r="F57" s="465" t="s">
        <v>17</v>
      </c>
      <c r="G57" s="465" t="s">
        <v>827</v>
      </c>
      <c r="H57" s="455" t="s">
        <v>831</v>
      </c>
      <c r="I57" s="455" t="s">
        <v>194</v>
      </c>
    </row>
    <row r="58" spans="1:9" x14ac:dyDescent="0.25">
      <c r="A58" s="452"/>
      <c r="B58" s="446"/>
      <c r="C58" s="446"/>
      <c r="D58" s="452"/>
      <c r="E58" s="455"/>
      <c r="F58" s="465" t="s">
        <v>23</v>
      </c>
      <c r="G58" s="465" t="s">
        <v>827</v>
      </c>
      <c r="H58" s="455" t="s">
        <v>831</v>
      </c>
      <c r="I58" s="455" t="s">
        <v>591</v>
      </c>
    </row>
    <row r="59" spans="1:9" x14ac:dyDescent="0.25">
      <c r="A59" s="452"/>
      <c r="B59" s="446"/>
      <c r="C59" s="446"/>
      <c r="D59" s="452"/>
      <c r="E59" s="455"/>
      <c r="F59" s="465" t="s">
        <v>832</v>
      </c>
      <c r="G59" s="465" t="s">
        <v>827</v>
      </c>
      <c r="H59" s="455" t="s">
        <v>831</v>
      </c>
      <c r="I59" s="455" t="s">
        <v>833</v>
      </c>
    </row>
    <row r="60" spans="1:9" x14ac:dyDescent="0.25">
      <c r="A60" s="452"/>
      <c r="B60" s="446"/>
      <c r="C60" s="446"/>
      <c r="D60" s="452"/>
      <c r="E60" s="455"/>
      <c r="F60" s="465" t="s">
        <v>653</v>
      </c>
      <c r="G60" s="465" t="s">
        <v>827</v>
      </c>
      <c r="H60" s="455" t="s">
        <v>831</v>
      </c>
      <c r="I60" s="455" t="s">
        <v>829</v>
      </c>
    </row>
    <row r="61" spans="1:9" x14ac:dyDescent="0.25">
      <c r="A61" s="452"/>
      <c r="B61" s="446"/>
      <c r="C61" s="446"/>
      <c r="D61" s="452"/>
      <c r="E61" s="453"/>
      <c r="F61" s="460"/>
      <c r="G61" s="460"/>
      <c r="H61" s="453"/>
      <c r="I61" s="453"/>
    </row>
    <row r="62" spans="1:9" x14ac:dyDescent="0.25">
      <c r="A62" s="584"/>
      <c r="B62" s="583"/>
      <c r="C62" s="583"/>
      <c r="D62" s="584" t="s">
        <v>74</v>
      </c>
      <c r="E62" s="586" t="s">
        <v>834</v>
      </c>
      <c r="F62" s="586"/>
      <c r="G62" s="456" t="s">
        <v>835</v>
      </c>
      <c r="H62" s="583"/>
      <c r="I62" s="583"/>
    </row>
    <row r="63" spans="1:9" x14ac:dyDescent="0.25">
      <c r="A63" s="584"/>
      <c r="B63" s="583"/>
      <c r="C63" s="583"/>
      <c r="D63" s="584"/>
      <c r="E63" s="586"/>
      <c r="F63" s="586"/>
      <c r="G63" s="457"/>
      <c r="H63" s="583"/>
      <c r="I63" s="583"/>
    </row>
    <row r="64" spans="1:9" x14ac:dyDescent="0.25">
      <c r="A64" s="584"/>
      <c r="B64" s="583"/>
      <c r="C64" s="583"/>
      <c r="D64" s="584"/>
      <c r="E64" s="586"/>
      <c r="F64" s="586"/>
      <c r="G64" s="456" t="s">
        <v>836</v>
      </c>
      <c r="H64" s="583"/>
      <c r="I64" s="583"/>
    </row>
    <row r="65" spans="1:9" x14ac:dyDescent="0.25">
      <c r="A65" s="584"/>
      <c r="B65" s="583"/>
      <c r="C65" s="583"/>
      <c r="D65" s="584"/>
      <c r="E65" s="586"/>
      <c r="F65" s="586"/>
      <c r="G65" s="456" t="s">
        <v>837</v>
      </c>
      <c r="H65" s="583"/>
      <c r="I65" s="583"/>
    </row>
    <row r="66" spans="1:9" x14ac:dyDescent="0.25">
      <c r="A66" s="584"/>
      <c r="B66" s="583"/>
      <c r="C66" s="583"/>
      <c r="D66" s="584"/>
      <c r="E66" s="586"/>
      <c r="F66" s="586"/>
      <c r="G66" s="456" t="s">
        <v>838</v>
      </c>
      <c r="H66" s="583"/>
      <c r="I66" s="583"/>
    </row>
    <row r="67" spans="1:9" x14ac:dyDescent="0.25">
      <c r="A67" s="584"/>
      <c r="B67" s="583"/>
      <c r="C67" s="583"/>
      <c r="D67" s="584"/>
      <c r="E67" s="587"/>
      <c r="F67" s="586"/>
      <c r="G67" s="456" t="s">
        <v>839</v>
      </c>
      <c r="H67" s="583"/>
      <c r="I67" s="583"/>
    </row>
    <row r="68" spans="1:9" x14ac:dyDescent="0.25">
      <c r="A68" s="584"/>
      <c r="B68" s="583"/>
      <c r="C68" s="583"/>
      <c r="D68" s="584"/>
      <c r="E68" s="587"/>
      <c r="F68" s="586"/>
      <c r="G68" s="457"/>
      <c r="H68" s="583"/>
      <c r="I68" s="583"/>
    </row>
    <row r="69" spans="1:9" x14ac:dyDescent="0.25">
      <c r="A69" s="584"/>
      <c r="B69" s="583"/>
      <c r="C69" s="583"/>
      <c r="D69" s="584"/>
      <c r="E69" s="587"/>
      <c r="F69" s="586"/>
      <c r="G69" s="456" t="s">
        <v>840</v>
      </c>
      <c r="H69" s="583"/>
      <c r="I69" s="583"/>
    </row>
    <row r="70" spans="1:9" x14ac:dyDescent="0.25">
      <c r="A70" s="584"/>
      <c r="B70" s="583"/>
      <c r="C70" s="583"/>
      <c r="D70" s="584"/>
      <c r="E70" s="587"/>
      <c r="F70" s="586"/>
      <c r="G70" s="456" t="s">
        <v>841</v>
      </c>
      <c r="H70" s="583"/>
      <c r="I70" s="583"/>
    </row>
    <row r="71" spans="1:9" x14ac:dyDescent="0.25">
      <c r="A71" s="584"/>
      <c r="B71" s="583"/>
      <c r="C71" s="583"/>
      <c r="D71" s="584"/>
      <c r="E71" s="587"/>
      <c r="F71" s="586"/>
      <c r="G71" s="456" t="s">
        <v>842</v>
      </c>
      <c r="H71" s="583"/>
      <c r="I71" s="583"/>
    </row>
    <row r="72" spans="1:9" x14ac:dyDescent="0.25">
      <c r="A72" s="584"/>
      <c r="B72" s="583"/>
      <c r="C72" s="583"/>
      <c r="D72" s="584"/>
      <c r="E72" s="587"/>
      <c r="F72" s="586"/>
      <c r="G72" s="456" t="s">
        <v>843</v>
      </c>
      <c r="H72" s="583"/>
      <c r="I72" s="583"/>
    </row>
    <row r="73" spans="1:9" x14ac:dyDescent="0.25">
      <c r="A73" s="584"/>
      <c r="B73" s="583"/>
      <c r="C73" s="583"/>
      <c r="D73" s="584"/>
      <c r="E73" s="587"/>
      <c r="F73" s="586"/>
      <c r="G73" s="457"/>
      <c r="H73" s="583"/>
      <c r="I73" s="583"/>
    </row>
    <row r="74" spans="1:9" x14ac:dyDescent="0.25">
      <c r="A74" s="584"/>
      <c r="B74" s="583"/>
      <c r="C74" s="583"/>
      <c r="D74" s="584"/>
      <c r="E74" s="587"/>
      <c r="F74" s="586"/>
      <c r="G74" s="456" t="s">
        <v>844</v>
      </c>
      <c r="H74" s="583"/>
      <c r="I74" s="583"/>
    </row>
    <row r="75" spans="1:9" x14ac:dyDescent="0.25">
      <c r="A75" s="584"/>
      <c r="B75" s="583"/>
      <c r="C75" s="583"/>
      <c r="D75" s="584"/>
      <c r="E75" s="587"/>
      <c r="F75" s="586"/>
      <c r="G75" s="456" t="s">
        <v>845</v>
      </c>
      <c r="H75" s="583"/>
      <c r="I75" s="583"/>
    </row>
    <row r="76" spans="1:9" x14ac:dyDescent="0.25">
      <c r="A76" s="584"/>
      <c r="B76" s="583"/>
      <c r="C76" s="583"/>
      <c r="D76" s="584"/>
      <c r="E76" s="587"/>
      <c r="F76" s="586"/>
      <c r="G76" s="456" t="s">
        <v>842</v>
      </c>
      <c r="H76" s="583"/>
      <c r="I76" s="583"/>
    </row>
    <row r="77" spans="1:9" x14ac:dyDescent="0.25">
      <c r="A77" s="584"/>
      <c r="B77" s="583"/>
      <c r="C77" s="583"/>
      <c r="D77" s="584"/>
      <c r="E77" s="587"/>
      <c r="F77" s="586"/>
      <c r="G77" s="456" t="s">
        <v>846</v>
      </c>
      <c r="H77" s="583"/>
      <c r="I77" s="583"/>
    </row>
    <row r="78" spans="1:9" x14ac:dyDescent="0.25">
      <c r="A78" s="584"/>
      <c r="B78" s="583"/>
      <c r="C78" s="583"/>
      <c r="D78" s="584"/>
      <c r="E78" s="587"/>
      <c r="F78" s="586"/>
      <c r="G78" s="457"/>
      <c r="H78" s="583"/>
      <c r="I78" s="583"/>
    </row>
    <row r="79" spans="1:9" x14ac:dyDescent="0.25">
      <c r="A79" s="584"/>
      <c r="B79" s="583"/>
      <c r="C79" s="583"/>
      <c r="D79" s="584"/>
      <c r="E79" s="587"/>
      <c r="F79" s="586"/>
      <c r="G79" s="456" t="s">
        <v>847</v>
      </c>
      <c r="H79" s="583"/>
      <c r="I79" s="583"/>
    </row>
    <row r="80" spans="1:9" x14ac:dyDescent="0.25">
      <c r="A80" s="584"/>
      <c r="B80" s="583"/>
      <c r="C80" s="583"/>
      <c r="D80" s="584"/>
      <c r="E80" s="587"/>
      <c r="F80" s="586"/>
      <c r="G80" s="456" t="s">
        <v>848</v>
      </c>
      <c r="H80" s="583"/>
      <c r="I80" s="583"/>
    </row>
    <row r="81" spans="1:9" x14ac:dyDescent="0.25">
      <c r="A81" s="584"/>
      <c r="B81" s="583"/>
      <c r="C81" s="583"/>
      <c r="D81" s="584"/>
      <c r="E81" s="587"/>
      <c r="F81" s="586"/>
      <c r="G81" s="456" t="s">
        <v>849</v>
      </c>
      <c r="H81" s="583"/>
      <c r="I81" s="583"/>
    </row>
    <row r="82" spans="1:9" x14ac:dyDescent="0.25">
      <c r="A82" s="584"/>
      <c r="B82" s="583"/>
      <c r="C82" s="583"/>
      <c r="D82" s="584"/>
      <c r="E82" s="587"/>
      <c r="F82" s="586"/>
      <c r="G82" s="456" t="s">
        <v>850</v>
      </c>
      <c r="H82" s="583"/>
      <c r="I82" s="583"/>
    </row>
    <row r="83" spans="1:9" x14ac:dyDescent="0.25">
      <c r="A83" s="584"/>
      <c r="B83" s="583"/>
      <c r="C83" s="583"/>
      <c r="D83" s="584"/>
      <c r="E83" s="587"/>
      <c r="F83" s="586"/>
      <c r="G83" s="457"/>
      <c r="H83" s="583"/>
      <c r="I83" s="583"/>
    </row>
    <row r="84" spans="1:9" x14ac:dyDescent="0.25">
      <c r="A84" s="584"/>
      <c r="B84" s="583"/>
      <c r="C84" s="583"/>
      <c r="D84" s="584"/>
      <c r="E84" s="587"/>
      <c r="F84" s="586"/>
      <c r="G84" s="456" t="s">
        <v>851</v>
      </c>
      <c r="H84" s="583"/>
      <c r="I84" s="583"/>
    </row>
    <row r="85" spans="1:9" x14ac:dyDescent="0.25">
      <c r="A85" s="584"/>
      <c r="B85" s="583"/>
      <c r="C85" s="583"/>
      <c r="D85" s="584"/>
      <c r="E85" s="587"/>
      <c r="F85" s="586"/>
      <c r="G85" s="456" t="s">
        <v>841</v>
      </c>
      <c r="H85" s="583"/>
      <c r="I85" s="583"/>
    </row>
    <row r="86" spans="1:9" x14ac:dyDescent="0.25">
      <c r="A86" s="584"/>
      <c r="B86" s="583"/>
      <c r="C86" s="583"/>
      <c r="D86" s="584"/>
      <c r="E86" s="587"/>
      <c r="F86" s="586"/>
      <c r="G86" s="456" t="s">
        <v>842</v>
      </c>
      <c r="H86" s="583"/>
      <c r="I86" s="583"/>
    </row>
    <row r="87" spans="1:9" x14ac:dyDescent="0.25">
      <c r="A87" s="584"/>
      <c r="B87" s="583"/>
      <c r="C87" s="583"/>
      <c r="D87" s="584"/>
      <c r="E87" s="587"/>
      <c r="F87" s="586"/>
      <c r="G87" s="456" t="s">
        <v>852</v>
      </c>
      <c r="H87" s="583"/>
      <c r="I87" s="583"/>
    </row>
    <row r="88" spans="1:9" x14ac:dyDescent="0.25">
      <c r="A88" s="584"/>
      <c r="B88" s="583"/>
      <c r="C88" s="583"/>
      <c r="D88" s="584"/>
      <c r="E88" s="587"/>
      <c r="F88" s="586"/>
      <c r="G88" s="457"/>
      <c r="H88" s="583"/>
      <c r="I88" s="583"/>
    </row>
    <row r="89" spans="1:9" x14ac:dyDescent="0.25">
      <c r="A89" s="584"/>
      <c r="B89" s="583"/>
      <c r="C89" s="583"/>
      <c r="D89" s="584"/>
      <c r="E89" s="587"/>
      <c r="F89" s="586"/>
      <c r="G89" s="456" t="s">
        <v>853</v>
      </c>
      <c r="H89" s="583"/>
      <c r="I89" s="583"/>
    </row>
    <row r="90" spans="1:9" x14ac:dyDescent="0.25">
      <c r="A90" s="584"/>
      <c r="B90" s="583"/>
      <c r="C90" s="583"/>
      <c r="D90" s="584"/>
      <c r="E90" s="587"/>
      <c r="F90" s="586"/>
      <c r="G90" s="456" t="s">
        <v>854</v>
      </c>
      <c r="H90" s="583"/>
      <c r="I90" s="583"/>
    </row>
    <row r="91" spans="1:9" x14ac:dyDescent="0.25">
      <c r="A91" s="584"/>
      <c r="B91" s="583"/>
      <c r="C91" s="583"/>
      <c r="D91" s="584"/>
      <c r="E91" s="587"/>
      <c r="F91" s="586"/>
      <c r="G91" s="456" t="s">
        <v>842</v>
      </c>
      <c r="H91" s="583"/>
      <c r="I91" s="583"/>
    </row>
    <row r="92" spans="1:9" x14ac:dyDescent="0.25">
      <c r="A92" s="452"/>
      <c r="B92" s="446"/>
      <c r="C92" s="446"/>
      <c r="D92" s="459"/>
      <c r="E92" s="453"/>
      <c r="F92" s="453"/>
      <c r="G92" s="466"/>
      <c r="H92" s="453"/>
      <c r="I92" s="453"/>
    </row>
    <row r="93" spans="1:9" x14ac:dyDescent="0.25">
      <c r="A93" s="452"/>
      <c r="B93" s="446"/>
      <c r="C93" s="446"/>
      <c r="D93" s="448"/>
      <c r="E93" s="449" t="s">
        <v>855</v>
      </c>
      <c r="F93" s="449" t="s">
        <v>0</v>
      </c>
      <c r="G93" s="449"/>
      <c r="H93" s="446"/>
      <c r="I93" s="446"/>
    </row>
    <row r="94" spans="1:9" x14ac:dyDescent="0.25">
      <c r="A94" s="452"/>
      <c r="B94" s="446"/>
      <c r="C94" s="446"/>
      <c r="D94" s="459"/>
      <c r="E94" s="454"/>
      <c r="F94" s="449" t="s">
        <v>705</v>
      </c>
      <c r="G94" s="449" t="s">
        <v>856</v>
      </c>
      <c r="H94" s="446"/>
      <c r="I94" s="446"/>
    </row>
    <row r="95" spans="1:9" x14ac:dyDescent="0.25">
      <c r="A95" s="452"/>
      <c r="B95" s="446" t="s">
        <v>749</v>
      </c>
      <c r="C95" s="446" t="s">
        <v>780</v>
      </c>
      <c r="D95" s="459"/>
      <c r="E95" s="454"/>
      <c r="F95" s="449" t="s">
        <v>706</v>
      </c>
      <c r="G95" s="449" t="s">
        <v>857</v>
      </c>
      <c r="H95" s="446"/>
      <c r="I95" s="446"/>
    </row>
    <row r="96" spans="1:9" x14ac:dyDescent="0.25">
      <c r="A96" s="452"/>
      <c r="B96" s="446"/>
      <c r="C96" s="446"/>
      <c r="D96" s="459"/>
      <c r="E96" s="454"/>
      <c r="F96" s="449" t="s">
        <v>858</v>
      </c>
      <c r="G96" s="449" t="s">
        <v>859</v>
      </c>
      <c r="H96" s="446"/>
      <c r="I96" s="446"/>
    </row>
    <row r="97" spans="1:9" x14ac:dyDescent="0.25">
      <c r="A97" s="452"/>
      <c r="B97" s="446"/>
      <c r="C97" s="446" t="s">
        <v>860</v>
      </c>
      <c r="D97" s="459"/>
      <c r="E97" s="454"/>
      <c r="F97" s="449" t="s">
        <v>708</v>
      </c>
      <c r="G97" s="449" t="s">
        <v>861</v>
      </c>
      <c r="H97" s="446"/>
      <c r="I97" s="446"/>
    </row>
    <row r="98" spans="1:9" x14ac:dyDescent="0.25">
      <c r="A98" s="452"/>
      <c r="B98" s="446"/>
      <c r="C98" s="446"/>
      <c r="D98" s="448"/>
      <c r="E98" s="455"/>
      <c r="F98" s="455" t="s">
        <v>862</v>
      </c>
      <c r="G98" s="455"/>
      <c r="H98" s="455"/>
      <c r="I98" s="455"/>
    </row>
    <row r="99" spans="1:9" x14ac:dyDescent="0.25">
      <c r="A99" s="452"/>
      <c r="B99" s="446"/>
      <c r="C99" s="446"/>
      <c r="D99" s="448"/>
      <c r="E99" s="455"/>
      <c r="F99" s="455" t="s">
        <v>863</v>
      </c>
      <c r="G99" s="455"/>
      <c r="H99" s="455"/>
      <c r="I99" s="455"/>
    </row>
    <row r="100" spans="1:9" x14ac:dyDescent="0.25">
      <c r="A100" s="452"/>
      <c r="B100" s="446"/>
      <c r="C100" s="446"/>
      <c r="D100" s="448"/>
      <c r="E100" s="453"/>
      <c r="F100" s="460"/>
      <c r="G100" s="453"/>
      <c r="H100" s="453"/>
      <c r="I100" s="453"/>
    </row>
    <row r="101" spans="1:9" x14ac:dyDescent="0.25">
      <c r="A101" s="452"/>
      <c r="B101" s="446"/>
      <c r="C101" s="446"/>
      <c r="D101" s="448" t="s">
        <v>250</v>
      </c>
      <c r="E101" s="449" t="s">
        <v>864</v>
      </c>
      <c r="F101" s="449" t="s">
        <v>0</v>
      </c>
      <c r="G101" s="449"/>
      <c r="H101" s="446"/>
      <c r="I101" s="446" t="s">
        <v>753</v>
      </c>
    </row>
    <row r="102" spans="1:9" x14ac:dyDescent="0.25">
      <c r="A102" s="584"/>
      <c r="B102" s="583"/>
      <c r="C102" s="583"/>
      <c r="D102" s="589"/>
      <c r="E102" s="587"/>
      <c r="F102" s="586" t="s">
        <v>37</v>
      </c>
      <c r="G102" s="586" t="s">
        <v>974</v>
      </c>
      <c r="H102" s="461"/>
      <c r="I102" s="583" t="s">
        <v>866</v>
      </c>
    </row>
    <row r="103" spans="1:9" x14ac:dyDescent="0.25">
      <c r="A103" s="584"/>
      <c r="B103" s="583"/>
      <c r="C103" s="583"/>
      <c r="D103" s="589"/>
      <c r="E103" s="587"/>
      <c r="F103" s="586"/>
      <c r="G103" s="586"/>
      <c r="H103" s="450" t="s">
        <v>865</v>
      </c>
      <c r="I103" s="583"/>
    </row>
    <row r="104" spans="1:9" x14ac:dyDescent="0.25">
      <c r="A104" s="584"/>
      <c r="B104" s="583"/>
      <c r="C104" s="583"/>
      <c r="D104" s="589"/>
      <c r="E104" s="586"/>
      <c r="F104" s="586" t="s">
        <v>867</v>
      </c>
      <c r="G104" s="586" t="s">
        <v>857</v>
      </c>
      <c r="H104" s="451"/>
      <c r="I104" s="586" t="s">
        <v>867</v>
      </c>
    </row>
    <row r="105" spans="1:9" x14ac:dyDescent="0.25">
      <c r="A105" s="584"/>
      <c r="B105" s="583"/>
      <c r="C105" s="583"/>
      <c r="D105" s="589"/>
      <c r="E105" s="586"/>
      <c r="F105" s="586"/>
      <c r="G105" s="586"/>
      <c r="H105" s="449" t="s">
        <v>865</v>
      </c>
      <c r="I105" s="586"/>
    </row>
    <row r="106" spans="1:9" x14ac:dyDescent="0.25">
      <c r="A106" s="584"/>
      <c r="B106" s="583"/>
      <c r="C106" s="583"/>
      <c r="D106" s="583"/>
      <c r="E106" s="586"/>
      <c r="F106" s="586" t="s">
        <v>868</v>
      </c>
      <c r="G106" s="586" t="s">
        <v>476</v>
      </c>
      <c r="H106" s="451"/>
      <c r="I106" s="586" t="s">
        <v>194</v>
      </c>
    </row>
    <row r="107" spans="1:9" x14ac:dyDescent="0.25">
      <c r="A107" s="584"/>
      <c r="B107" s="583"/>
      <c r="C107" s="583"/>
      <c r="D107" s="583"/>
      <c r="E107" s="586"/>
      <c r="F107" s="586"/>
      <c r="G107" s="586"/>
      <c r="H107" s="449" t="s">
        <v>865</v>
      </c>
      <c r="I107" s="586"/>
    </row>
    <row r="108" spans="1:9" x14ac:dyDescent="0.25">
      <c r="A108" s="584"/>
      <c r="B108" s="583"/>
      <c r="C108" s="583"/>
      <c r="D108" s="583"/>
      <c r="E108" s="588"/>
      <c r="F108" s="588" t="s">
        <v>869</v>
      </c>
      <c r="G108" s="462" t="s">
        <v>870</v>
      </c>
      <c r="H108" s="588" t="s">
        <v>872</v>
      </c>
      <c r="I108" s="588"/>
    </row>
    <row r="109" spans="1:9" ht="31.5" x14ac:dyDescent="0.25">
      <c r="A109" s="584"/>
      <c r="B109" s="583"/>
      <c r="C109" s="583"/>
      <c r="D109" s="583"/>
      <c r="E109" s="588"/>
      <c r="F109" s="588"/>
      <c r="G109" s="462" t="s">
        <v>871</v>
      </c>
      <c r="H109" s="588"/>
      <c r="I109" s="588"/>
    </row>
    <row r="110" spans="1:9" x14ac:dyDescent="0.25">
      <c r="A110" s="452"/>
      <c r="B110" s="446"/>
      <c r="C110" s="446" t="s">
        <v>873</v>
      </c>
      <c r="D110" s="446"/>
      <c r="E110" s="454"/>
      <c r="F110" s="449" t="s">
        <v>874</v>
      </c>
      <c r="G110" s="449"/>
      <c r="H110" s="450" t="s">
        <v>875</v>
      </c>
      <c r="I110" s="446" t="s">
        <v>874</v>
      </c>
    </row>
    <row r="111" spans="1:9" x14ac:dyDescent="0.25">
      <c r="A111" s="452"/>
      <c r="B111" s="446"/>
      <c r="C111" s="446"/>
      <c r="D111" s="446"/>
      <c r="E111" s="454"/>
      <c r="F111" s="449" t="s">
        <v>876</v>
      </c>
      <c r="G111" s="449" t="s">
        <v>877</v>
      </c>
      <c r="H111" s="450" t="s">
        <v>875</v>
      </c>
      <c r="I111" s="446" t="s">
        <v>876</v>
      </c>
    </row>
    <row r="112" spans="1:9" x14ac:dyDescent="0.25">
      <c r="A112" s="452"/>
      <c r="B112" s="446"/>
      <c r="C112" s="446" t="s">
        <v>878</v>
      </c>
      <c r="D112" s="446"/>
      <c r="E112" s="454"/>
      <c r="F112" s="449" t="s">
        <v>316</v>
      </c>
      <c r="G112" s="449"/>
      <c r="H112" s="450" t="s">
        <v>875</v>
      </c>
      <c r="I112" s="446" t="s">
        <v>316</v>
      </c>
    </row>
    <row r="113" spans="1:9" x14ac:dyDescent="0.25">
      <c r="A113" s="452"/>
      <c r="B113" s="446"/>
      <c r="C113" s="446"/>
      <c r="D113" s="446"/>
      <c r="E113" s="454"/>
      <c r="F113" s="449" t="s">
        <v>879</v>
      </c>
      <c r="G113" s="449" t="s">
        <v>45</v>
      </c>
      <c r="H113" s="450" t="s">
        <v>875</v>
      </c>
      <c r="I113" s="446" t="s">
        <v>879</v>
      </c>
    </row>
    <row r="114" spans="1:9" x14ac:dyDescent="0.25">
      <c r="A114" s="452"/>
      <c r="B114" s="446"/>
      <c r="C114" s="446" t="s">
        <v>873</v>
      </c>
      <c r="D114" s="446"/>
      <c r="E114" s="454"/>
      <c r="F114" s="449" t="s">
        <v>264</v>
      </c>
      <c r="G114" s="449"/>
      <c r="H114" s="450" t="s">
        <v>875</v>
      </c>
      <c r="I114" s="446" t="s">
        <v>264</v>
      </c>
    </row>
    <row r="115" spans="1:9" x14ac:dyDescent="0.25">
      <c r="A115" s="452"/>
      <c r="B115" s="446"/>
      <c r="C115" s="446" t="s">
        <v>880</v>
      </c>
      <c r="D115" s="446"/>
      <c r="E115" s="454"/>
      <c r="F115" s="449" t="s">
        <v>881</v>
      </c>
      <c r="G115" s="449"/>
      <c r="H115" s="450" t="s">
        <v>875</v>
      </c>
      <c r="I115" s="446" t="s">
        <v>881</v>
      </c>
    </row>
    <row r="116" spans="1:9" x14ac:dyDescent="0.25">
      <c r="A116" s="584"/>
      <c r="B116" s="583"/>
      <c r="C116" s="583"/>
      <c r="D116" s="589" t="s">
        <v>253</v>
      </c>
      <c r="E116" s="588"/>
      <c r="F116" s="588"/>
      <c r="G116" s="462" t="s">
        <v>882</v>
      </c>
      <c r="H116" s="588"/>
      <c r="I116" s="583"/>
    </row>
    <row r="117" spans="1:9" x14ac:dyDescent="0.25">
      <c r="A117" s="584"/>
      <c r="B117" s="583"/>
      <c r="C117" s="583"/>
      <c r="D117" s="589"/>
      <c r="E117" s="588"/>
      <c r="F117" s="588"/>
      <c r="G117" s="462" t="s">
        <v>883</v>
      </c>
      <c r="H117" s="588"/>
      <c r="I117" s="583"/>
    </row>
    <row r="118" spans="1:9" x14ac:dyDescent="0.25">
      <c r="A118" s="452"/>
      <c r="B118" s="446"/>
      <c r="C118" s="446" t="s">
        <v>884</v>
      </c>
      <c r="D118" s="446"/>
      <c r="E118" s="454"/>
      <c r="F118" s="449" t="s">
        <v>874</v>
      </c>
      <c r="G118" s="449"/>
      <c r="H118" s="450" t="s">
        <v>875</v>
      </c>
      <c r="I118" s="446" t="s">
        <v>874</v>
      </c>
    </row>
    <row r="119" spans="1:9" x14ac:dyDescent="0.25">
      <c r="A119" s="452"/>
      <c r="B119" s="446"/>
      <c r="C119" s="446"/>
      <c r="D119" s="446"/>
      <c r="E119" s="454"/>
      <c r="F119" s="449" t="s">
        <v>876</v>
      </c>
      <c r="G119" s="449" t="s">
        <v>877</v>
      </c>
      <c r="H119" s="450" t="s">
        <v>875</v>
      </c>
      <c r="I119" s="446" t="s">
        <v>876</v>
      </c>
    </row>
    <row r="120" spans="1:9" x14ac:dyDescent="0.25">
      <c r="A120" s="452"/>
      <c r="B120" s="446"/>
      <c r="C120" s="446" t="s">
        <v>885</v>
      </c>
      <c r="D120" s="446"/>
      <c r="E120" s="454"/>
      <c r="F120" s="449" t="s">
        <v>316</v>
      </c>
      <c r="G120" s="449"/>
      <c r="H120" s="450" t="s">
        <v>875</v>
      </c>
      <c r="I120" s="446" t="s">
        <v>316</v>
      </c>
    </row>
    <row r="121" spans="1:9" x14ac:dyDescent="0.25">
      <c r="A121" s="452"/>
      <c r="B121" s="446"/>
      <c r="C121" s="446"/>
      <c r="D121" s="446"/>
      <c r="E121" s="454"/>
      <c r="F121" s="449" t="s">
        <v>886</v>
      </c>
      <c r="G121" s="449" t="s">
        <v>476</v>
      </c>
      <c r="H121" s="450" t="s">
        <v>875</v>
      </c>
      <c r="I121" s="446" t="s">
        <v>887</v>
      </c>
    </row>
    <row r="122" spans="1:9" x14ac:dyDescent="0.25">
      <c r="A122" s="452"/>
      <c r="B122" s="446"/>
      <c r="C122" s="446" t="s">
        <v>884</v>
      </c>
      <c r="D122" s="446"/>
      <c r="E122" s="454"/>
      <c r="F122" s="449" t="s">
        <v>264</v>
      </c>
      <c r="G122" s="449"/>
      <c r="H122" s="450" t="s">
        <v>875</v>
      </c>
      <c r="I122" s="446" t="s">
        <v>264</v>
      </c>
    </row>
    <row r="123" spans="1:9" x14ac:dyDescent="0.25">
      <c r="A123" s="452"/>
      <c r="B123" s="446"/>
      <c r="C123" s="446" t="s">
        <v>888</v>
      </c>
      <c r="D123" s="446"/>
      <c r="E123" s="454"/>
      <c r="F123" s="449" t="s">
        <v>881</v>
      </c>
      <c r="G123" s="449"/>
      <c r="H123" s="450" t="s">
        <v>875</v>
      </c>
      <c r="I123" s="446" t="s">
        <v>881</v>
      </c>
    </row>
    <row r="124" spans="1:9" x14ac:dyDescent="0.25">
      <c r="A124" s="452"/>
      <c r="B124" s="446"/>
      <c r="C124" s="446"/>
      <c r="D124" s="452"/>
      <c r="E124" s="453"/>
      <c r="F124" s="460"/>
      <c r="G124" s="453"/>
      <c r="H124" s="453"/>
      <c r="I124" s="453"/>
    </row>
    <row r="125" spans="1:9" x14ac:dyDescent="0.25">
      <c r="A125" s="452"/>
      <c r="B125" s="446" t="s">
        <v>889</v>
      </c>
      <c r="C125" s="446"/>
      <c r="D125" s="452"/>
      <c r="E125" s="449" t="s">
        <v>890</v>
      </c>
      <c r="F125" s="449" t="s">
        <v>0</v>
      </c>
      <c r="G125" s="449"/>
      <c r="H125" s="446" t="s">
        <v>891</v>
      </c>
      <c r="I125" s="446" t="s">
        <v>767</v>
      </c>
    </row>
    <row r="126" spans="1:9" x14ac:dyDescent="0.25">
      <c r="A126" s="452"/>
      <c r="B126" s="446"/>
      <c r="C126" s="446"/>
      <c r="D126" s="452"/>
      <c r="E126" s="454"/>
      <c r="F126" s="449" t="s">
        <v>10</v>
      </c>
      <c r="G126" s="449"/>
      <c r="H126" s="446" t="s">
        <v>891</v>
      </c>
      <c r="I126" s="446" t="s">
        <v>781</v>
      </c>
    </row>
    <row r="127" spans="1:9" x14ac:dyDescent="0.25">
      <c r="A127" s="452"/>
      <c r="B127" s="446"/>
      <c r="C127" s="446"/>
      <c r="D127" s="452"/>
      <c r="E127" s="454"/>
      <c r="F127" s="449" t="s">
        <v>11</v>
      </c>
      <c r="G127" s="449" t="s">
        <v>16</v>
      </c>
      <c r="H127" s="446" t="s">
        <v>891</v>
      </c>
      <c r="I127" s="446" t="s">
        <v>785</v>
      </c>
    </row>
    <row r="128" spans="1:9" x14ac:dyDescent="0.25">
      <c r="A128" s="452"/>
      <c r="B128" s="446"/>
      <c r="C128" s="446" t="s">
        <v>892</v>
      </c>
      <c r="D128" s="452"/>
      <c r="E128" s="454"/>
      <c r="F128" s="449" t="s">
        <v>46</v>
      </c>
      <c r="G128" s="449"/>
      <c r="H128" s="446" t="s">
        <v>891</v>
      </c>
      <c r="I128" s="446" t="s">
        <v>893</v>
      </c>
    </row>
    <row r="129" spans="1:9" x14ac:dyDescent="0.25">
      <c r="A129" s="452"/>
      <c r="B129" s="446"/>
      <c r="C129" s="446" t="s">
        <v>1015</v>
      </c>
      <c r="D129" s="452"/>
      <c r="E129" s="454"/>
      <c r="F129" s="449" t="s">
        <v>47</v>
      </c>
      <c r="G129" s="449"/>
      <c r="H129" s="446" t="s">
        <v>891</v>
      </c>
      <c r="I129" s="446" t="s">
        <v>894</v>
      </c>
    </row>
    <row r="130" spans="1:9" x14ac:dyDescent="0.25">
      <c r="A130" s="452"/>
      <c r="B130" s="446"/>
      <c r="C130" s="446" t="s">
        <v>1016</v>
      </c>
      <c r="D130" s="452"/>
      <c r="E130" s="454"/>
      <c r="F130" s="449" t="s">
        <v>48</v>
      </c>
      <c r="G130" s="449"/>
      <c r="H130" s="446" t="s">
        <v>891</v>
      </c>
      <c r="I130" s="446" t="s">
        <v>895</v>
      </c>
    </row>
    <row r="131" spans="1:9" x14ac:dyDescent="0.25">
      <c r="A131" s="452"/>
      <c r="B131" s="446"/>
      <c r="C131" s="446"/>
      <c r="D131" s="452"/>
      <c r="E131" s="454"/>
      <c r="F131" s="449" t="s">
        <v>49</v>
      </c>
      <c r="G131" s="449" t="s">
        <v>655</v>
      </c>
      <c r="H131" s="446" t="s">
        <v>891</v>
      </c>
      <c r="I131" s="446" t="s">
        <v>896</v>
      </c>
    </row>
    <row r="132" spans="1:9" x14ac:dyDescent="0.25">
      <c r="A132" s="452"/>
      <c r="B132" s="446"/>
      <c r="C132" s="446" t="s">
        <v>897</v>
      </c>
      <c r="D132" s="452"/>
      <c r="E132" s="454"/>
      <c r="F132" s="449" t="s">
        <v>50</v>
      </c>
      <c r="G132" s="449"/>
      <c r="H132" s="446" t="s">
        <v>891</v>
      </c>
      <c r="I132" s="446" t="s">
        <v>898</v>
      </c>
    </row>
    <row r="133" spans="1:9" x14ac:dyDescent="0.25">
      <c r="A133" s="452"/>
      <c r="B133" s="446"/>
      <c r="C133" s="446"/>
      <c r="D133" s="452"/>
      <c r="E133" s="454"/>
      <c r="F133" s="449" t="s">
        <v>51</v>
      </c>
      <c r="G133" s="449" t="s">
        <v>655</v>
      </c>
      <c r="H133" s="446" t="s">
        <v>891</v>
      </c>
      <c r="I133" s="446" t="s">
        <v>899</v>
      </c>
    </row>
    <row r="134" spans="1:9" x14ac:dyDescent="0.25">
      <c r="A134" s="452"/>
      <c r="B134" s="446"/>
      <c r="C134" s="446" t="s">
        <v>900</v>
      </c>
      <c r="D134" s="452"/>
      <c r="E134" s="454"/>
      <c r="F134" s="449" t="s">
        <v>52</v>
      </c>
      <c r="G134" s="449"/>
      <c r="H134" s="446" t="s">
        <v>891</v>
      </c>
      <c r="I134" s="446" t="s">
        <v>901</v>
      </c>
    </row>
    <row r="135" spans="1:9" x14ac:dyDescent="0.25">
      <c r="A135" s="452"/>
      <c r="B135" s="446"/>
      <c r="C135" s="446" t="s">
        <v>902</v>
      </c>
      <c r="D135" s="452"/>
      <c r="E135" s="454"/>
      <c r="F135" s="449" t="s">
        <v>53</v>
      </c>
      <c r="G135" s="449"/>
      <c r="H135" s="446" t="s">
        <v>891</v>
      </c>
      <c r="I135" s="446" t="s">
        <v>903</v>
      </c>
    </row>
    <row r="136" spans="1:9" x14ac:dyDescent="0.25">
      <c r="A136" s="452"/>
      <c r="B136" s="446"/>
      <c r="C136" s="446" t="s">
        <v>904</v>
      </c>
      <c r="D136" s="452"/>
      <c r="E136" s="454"/>
      <c r="F136" s="449" t="s">
        <v>54</v>
      </c>
      <c r="G136" s="449"/>
      <c r="H136" s="446" t="s">
        <v>891</v>
      </c>
      <c r="I136" s="446" t="s">
        <v>905</v>
      </c>
    </row>
    <row r="137" spans="1:9" x14ac:dyDescent="0.25">
      <c r="A137" s="452"/>
      <c r="B137" s="446"/>
      <c r="C137" s="446" t="s">
        <v>906</v>
      </c>
      <c r="D137" s="452"/>
      <c r="E137" s="454"/>
      <c r="F137" s="449" t="s">
        <v>55</v>
      </c>
      <c r="G137" s="449"/>
      <c r="H137" s="446" t="s">
        <v>891</v>
      </c>
      <c r="I137" s="446" t="s">
        <v>907</v>
      </c>
    </row>
    <row r="138" spans="1:9" x14ac:dyDescent="0.25">
      <c r="A138" s="584"/>
      <c r="B138" s="583"/>
      <c r="C138" s="583" t="s">
        <v>908</v>
      </c>
      <c r="D138" s="584"/>
      <c r="E138" s="587"/>
      <c r="F138" s="586" t="s">
        <v>631</v>
      </c>
      <c r="G138" s="457"/>
      <c r="H138" s="583" t="s">
        <v>891</v>
      </c>
      <c r="I138" s="583" t="s">
        <v>910</v>
      </c>
    </row>
    <row r="139" spans="1:9" x14ac:dyDescent="0.25">
      <c r="A139" s="584"/>
      <c r="B139" s="583"/>
      <c r="C139" s="583"/>
      <c r="D139" s="584"/>
      <c r="E139" s="587"/>
      <c r="F139" s="586"/>
      <c r="G139" s="457"/>
      <c r="H139" s="583"/>
      <c r="I139" s="583"/>
    </row>
    <row r="140" spans="1:9" x14ac:dyDescent="0.25">
      <c r="A140" s="584"/>
      <c r="B140" s="583"/>
      <c r="C140" s="583"/>
      <c r="D140" s="584"/>
      <c r="E140" s="587"/>
      <c r="F140" s="586"/>
      <c r="G140" s="456" t="s">
        <v>909</v>
      </c>
      <c r="H140" s="583"/>
      <c r="I140" s="583"/>
    </row>
    <row r="141" spans="1:9" x14ac:dyDescent="0.25">
      <c r="A141" s="584"/>
      <c r="B141" s="583"/>
      <c r="C141" s="583"/>
      <c r="D141" s="584"/>
      <c r="E141" s="587"/>
      <c r="F141" s="586"/>
      <c r="G141" s="456"/>
      <c r="H141" s="583"/>
      <c r="I141" s="583"/>
    </row>
    <row r="142" spans="1:9" x14ac:dyDescent="0.25">
      <c r="A142" s="584"/>
      <c r="B142" s="583"/>
      <c r="C142" s="583" t="s">
        <v>908</v>
      </c>
      <c r="D142" s="584"/>
      <c r="E142" s="587"/>
      <c r="F142" s="586" t="s">
        <v>57</v>
      </c>
      <c r="G142" s="457"/>
      <c r="H142" s="583" t="s">
        <v>891</v>
      </c>
      <c r="I142" s="583" t="s">
        <v>912</v>
      </c>
    </row>
    <row r="143" spans="1:9" x14ac:dyDescent="0.25">
      <c r="A143" s="584"/>
      <c r="B143" s="583"/>
      <c r="C143" s="583"/>
      <c r="D143" s="584"/>
      <c r="E143" s="587"/>
      <c r="F143" s="586"/>
      <c r="G143" s="457"/>
      <c r="H143" s="583"/>
      <c r="I143" s="583"/>
    </row>
    <row r="144" spans="1:9" x14ac:dyDescent="0.25">
      <c r="A144" s="584"/>
      <c r="B144" s="583"/>
      <c r="C144" s="583"/>
      <c r="D144" s="584"/>
      <c r="E144" s="587"/>
      <c r="F144" s="586"/>
      <c r="G144" s="456" t="s">
        <v>911</v>
      </c>
      <c r="H144" s="583"/>
      <c r="I144" s="583"/>
    </row>
    <row r="145" spans="1:9" x14ac:dyDescent="0.25">
      <c r="A145" s="584"/>
      <c r="B145" s="583"/>
      <c r="C145" s="583"/>
      <c r="D145" s="584"/>
      <c r="E145" s="587"/>
      <c r="F145" s="586"/>
      <c r="G145" s="456"/>
      <c r="H145" s="583"/>
      <c r="I145" s="583"/>
    </row>
    <row r="146" spans="1:9" x14ac:dyDescent="0.25">
      <c r="A146" s="584"/>
      <c r="B146" s="583"/>
      <c r="C146" s="583" t="s">
        <v>913</v>
      </c>
      <c r="D146" s="584"/>
      <c r="E146" s="587"/>
      <c r="F146" s="586" t="s">
        <v>632</v>
      </c>
      <c r="G146" s="449" t="s">
        <v>914</v>
      </c>
      <c r="H146" s="583" t="s">
        <v>891</v>
      </c>
      <c r="I146" s="583" t="s">
        <v>916</v>
      </c>
    </row>
    <row r="147" spans="1:9" x14ac:dyDescent="0.25">
      <c r="A147" s="584"/>
      <c r="B147" s="583"/>
      <c r="C147" s="583"/>
      <c r="D147" s="584"/>
      <c r="E147" s="587"/>
      <c r="F147" s="586"/>
      <c r="G147" s="449" t="s">
        <v>915</v>
      </c>
      <c r="H147" s="583"/>
      <c r="I147" s="583"/>
    </row>
    <row r="148" spans="1:9" x14ac:dyDescent="0.25">
      <c r="A148" s="584"/>
      <c r="B148" s="583"/>
      <c r="C148" s="583" t="s">
        <v>913</v>
      </c>
      <c r="D148" s="584"/>
      <c r="E148" s="587"/>
      <c r="F148" s="586" t="s">
        <v>56</v>
      </c>
      <c r="G148" s="449" t="s">
        <v>917</v>
      </c>
      <c r="H148" s="583" t="s">
        <v>891</v>
      </c>
      <c r="I148" s="583" t="s">
        <v>919</v>
      </c>
    </row>
    <row r="149" spans="1:9" x14ac:dyDescent="0.25">
      <c r="A149" s="584"/>
      <c r="B149" s="583"/>
      <c r="C149" s="583"/>
      <c r="D149" s="584"/>
      <c r="E149" s="587"/>
      <c r="F149" s="586"/>
      <c r="G149" s="449" t="s">
        <v>918</v>
      </c>
      <c r="H149" s="583"/>
      <c r="I149" s="583"/>
    </row>
    <row r="150" spans="1:9" ht="18" x14ac:dyDescent="0.25">
      <c r="A150" s="452"/>
      <c r="B150" s="446"/>
      <c r="C150" s="446" t="s">
        <v>1017</v>
      </c>
      <c r="D150" s="452"/>
      <c r="E150" s="454"/>
      <c r="F150" s="449" t="s">
        <v>58</v>
      </c>
      <c r="G150" s="449"/>
      <c r="H150" s="446" t="s">
        <v>891</v>
      </c>
      <c r="I150" s="446" t="s">
        <v>920</v>
      </c>
    </row>
    <row r="151" spans="1:9" x14ac:dyDescent="0.25">
      <c r="A151" s="452"/>
      <c r="B151" s="446"/>
      <c r="C151" s="446" t="s">
        <v>921</v>
      </c>
      <c r="D151" s="452"/>
      <c r="E151" s="454"/>
      <c r="F151" s="449" t="s">
        <v>59</v>
      </c>
      <c r="G151" s="449"/>
      <c r="H151" s="446" t="s">
        <v>891</v>
      </c>
      <c r="I151" s="446" t="s">
        <v>922</v>
      </c>
    </row>
    <row r="152" spans="1:9" x14ac:dyDescent="0.25">
      <c r="A152" s="452"/>
      <c r="B152" s="446"/>
      <c r="C152" s="446" t="s">
        <v>1018</v>
      </c>
      <c r="D152" s="452"/>
      <c r="E152" s="454"/>
      <c r="F152" s="449" t="s">
        <v>60</v>
      </c>
      <c r="G152" s="449"/>
      <c r="H152" s="446" t="s">
        <v>891</v>
      </c>
      <c r="I152" s="446" t="s">
        <v>235</v>
      </c>
    </row>
    <row r="153" spans="1:9" x14ac:dyDescent="0.25">
      <c r="A153" s="452"/>
      <c r="B153" s="446"/>
      <c r="C153" s="446" t="s">
        <v>923</v>
      </c>
      <c r="D153" s="452"/>
      <c r="E153" s="454"/>
      <c r="F153" s="449" t="s">
        <v>61</v>
      </c>
      <c r="G153" s="449"/>
      <c r="H153" s="446" t="s">
        <v>891</v>
      </c>
      <c r="I153" s="446" t="s">
        <v>924</v>
      </c>
    </row>
    <row r="154" spans="1:9" x14ac:dyDescent="0.25">
      <c r="A154" s="452"/>
      <c r="B154" s="446"/>
      <c r="C154" s="446" t="s">
        <v>925</v>
      </c>
      <c r="D154" s="452"/>
      <c r="E154" s="454"/>
      <c r="F154" s="449" t="s">
        <v>62</v>
      </c>
      <c r="G154" s="449"/>
      <c r="H154" s="446" t="s">
        <v>891</v>
      </c>
      <c r="I154" s="446" t="s">
        <v>926</v>
      </c>
    </row>
    <row r="155" spans="1:9" x14ac:dyDescent="0.25">
      <c r="A155" s="452"/>
      <c r="B155" s="446"/>
      <c r="C155" s="446" t="s">
        <v>927</v>
      </c>
      <c r="D155" s="452"/>
      <c r="E155" s="454"/>
      <c r="F155" s="449" t="s">
        <v>63</v>
      </c>
      <c r="G155" s="449"/>
      <c r="H155" s="446" t="s">
        <v>891</v>
      </c>
      <c r="I155" s="446" t="s">
        <v>928</v>
      </c>
    </row>
    <row r="156" spans="1:9" x14ac:dyDescent="0.25">
      <c r="A156" s="452"/>
      <c r="B156" s="446"/>
      <c r="C156" s="446" t="s">
        <v>929</v>
      </c>
      <c r="D156" s="452"/>
      <c r="E156" s="454"/>
      <c r="F156" s="449" t="s">
        <v>633</v>
      </c>
      <c r="G156" s="449"/>
      <c r="H156" s="446" t="s">
        <v>891</v>
      </c>
      <c r="I156" s="446" t="s">
        <v>245</v>
      </c>
    </row>
    <row r="157" spans="1:9" x14ac:dyDescent="0.25">
      <c r="A157" s="452"/>
      <c r="B157" s="446"/>
      <c r="C157" s="446" t="s">
        <v>930</v>
      </c>
      <c r="D157" s="452"/>
      <c r="E157" s="454"/>
      <c r="F157" s="449" t="s">
        <v>64</v>
      </c>
      <c r="G157" s="449"/>
      <c r="H157" s="446" t="s">
        <v>891</v>
      </c>
      <c r="I157" s="446" t="s">
        <v>931</v>
      </c>
    </row>
    <row r="158" spans="1:9" x14ac:dyDescent="0.25">
      <c r="A158" s="452"/>
      <c r="B158" s="446"/>
      <c r="C158" s="446" t="s">
        <v>932</v>
      </c>
      <c r="D158" s="452"/>
      <c r="E158" s="454"/>
      <c r="F158" s="449" t="s">
        <v>65</v>
      </c>
      <c r="G158" s="449"/>
      <c r="H158" s="446" t="s">
        <v>891</v>
      </c>
      <c r="I158" s="446" t="s">
        <v>933</v>
      </c>
    </row>
    <row r="159" spans="1:9" x14ac:dyDescent="0.25">
      <c r="A159" s="452"/>
      <c r="B159" s="446"/>
      <c r="C159" s="446" t="s">
        <v>934</v>
      </c>
      <c r="D159" s="452"/>
      <c r="E159" s="454"/>
      <c r="F159" s="449" t="s">
        <v>66</v>
      </c>
      <c r="G159" s="449"/>
      <c r="H159" s="446" t="s">
        <v>891</v>
      </c>
      <c r="I159" s="446" t="s">
        <v>935</v>
      </c>
    </row>
    <row r="160" spans="1:9" x14ac:dyDescent="0.25">
      <c r="A160" s="452"/>
      <c r="B160" s="446"/>
      <c r="C160" s="446" t="s">
        <v>1019</v>
      </c>
      <c r="D160" s="452"/>
      <c r="E160" s="454"/>
      <c r="F160" s="449" t="s">
        <v>67</v>
      </c>
      <c r="G160" s="449"/>
      <c r="H160" s="446" t="s">
        <v>891</v>
      </c>
      <c r="I160" s="446" t="s">
        <v>936</v>
      </c>
    </row>
    <row r="161" spans="1:9" x14ac:dyDescent="0.25">
      <c r="A161" s="452"/>
      <c r="B161" s="446"/>
      <c r="C161" s="446"/>
      <c r="D161" s="452"/>
      <c r="E161" s="453"/>
      <c r="F161" s="460"/>
      <c r="G161" s="453"/>
      <c r="H161" s="453"/>
      <c r="I161" s="453"/>
    </row>
    <row r="162" spans="1:9" x14ac:dyDescent="0.25">
      <c r="A162" s="452"/>
      <c r="B162" s="446" t="s">
        <v>889</v>
      </c>
      <c r="C162" s="446"/>
      <c r="D162" s="452"/>
      <c r="E162" s="449" t="s">
        <v>225</v>
      </c>
      <c r="F162" s="449" t="s">
        <v>767</v>
      </c>
      <c r="G162" s="449"/>
      <c r="H162" s="446" t="s">
        <v>937</v>
      </c>
      <c r="I162" s="446" t="s">
        <v>767</v>
      </c>
    </row>
    <row r="163" spans="1:9" x14ac:dyDescent="0.25">
      <c r="A163" s="452"/>
      <c r="B163" s="446" t="s">
        <v>889</v>
      </c>
      <c r="C163" s="446"/>
      <c r="D163" s="452"/>
      <c r="E163" s="463"/>
      <c r="F163" s="449" t="s">
        <v>938</v>
      </c>
      <c r="G163" s="449" t="s">
        <v>939</v>
      </c>
      <c r="H163" s="446" t="s">
        <v>937</v>
      </c>
      <c r="I163" s="446" t="s">
        <v>938</v>
      </c>
    </row>
    <row r="164" spans="1:9" x14ac:dyDescent="0.25">
      <c r="A164" s="452"/>
      <c r="B164" s="446" t="s">
        <v>889</v>
      </c>
      <c r="C164" s="446"/>
      <c r="D164" s="452"/>
      <c r="E164" s="463"/>
      <c r="F164" s="449" t="s">
        <v>940</v>
      </c>
      <c r="G164" s="449" t="s">
        <v>941</v>
      </c>
      <c r="H164" s="446" t="s">
        <v>937</v>
      </c>
      <c r="I164" s="446" t="s">
        <v>940</v>
      </c>
    </row>
    <row r="165" spans="1:9" x14ac:dyDescent="0.25">
      <c r="A165" s="452"/>
      <c r="B165" s="446" t="s">
        <v>889</v>
      </c>
      <c r="C165" s="446"/>
      <c r="D165" s="452"/>
      <c r="E165" s="463"/>
      <c r="F165" s="449" t="s">
        <v>942</v>
      </c>
      <c r="G165" s="449" t="s">
        <v>941</v>
      </c>
      <c r="H165" s="446" t="s">
        <v>937</v>
      </c>
      <c r="I165" s="446" t="s">
        <v>942</v>
      </c>
    </row>
    <row r="166" spans="1:9" x14ac:dyDescent="0.25">
      <c r="A166" s="452"/>
      <c r="B166" s="446" t="s">
        <v>889</v>
      </c>
      <c r="C166" s="446"/>
      <c r="D166" s="452"/>
      <c r="E166" s="463"/>
      <c r="F166" s="449" t="s">
        <v>943</v>
      </c>
      <c r="G166" s="449" t="s">
        <v>941</v>
      </c>
      <c r="H166" s="446" t="s">
        <v>937</v>
      </c>
      <c r="I166" s="446" t="s">
        <v>943</v>
      </c>
    </row>
    <row r="167" spans="1:9" x14ac:dyDescent="0.25">
      <c r="A167" s="452"/>
      <c r="B167" s="446" t="s">
        <v>889</v>
      </c>
      <c r="C167" s="446"/>
      <c r="D167" s="452"/>
      <c r="E167" s="463"/>
      <c r="F167" s="449" t="s">
        <v>944</v>
      </c>
      <c r="G167" s="449" t="s">
        <v>945</v>
      </c>
      <c r="H167" s="446" t="s">
        <v>937</v>
      </c>
      <c r="I167" s="446" t="s">
        <v>944</v>
      </c>
    </row>
    <row r="168" spans="1:9" x14ac:dyDescent="0.25">
      <c r="A168" s="452"/>
      <c r="B168" s="446"/>
      <c r="C168" s="446"/>
      <c r="D168" s="452"/>
      <c r="E168" s="460"/>
      <c r="F168" s="460"/>
      <c r="G168" s="453"/>
      <c r="H168" s="453"/>
      <c r="I168" s="453"/>
    </row>
    <row r="169" spans="1:9" x14ac:dyDescent="0.25">
      <c r="A169" s="452"/>
      <c r="B169" s="446" t="s">
        <v>889</v>
      </c>
      <c r="C169" s="446"/>
      <c r="D169" s="452"/>
      <c r="E169" s="449" t="s">
        <v>946</v>
      </c>
      <c r="F169" s="449" t="s">
        <v>947</v>
      </c>
      <c r="G169" s="449"/>
      <c r="H169" s="446" t="s">
        <v>948</v>
      </c>
      <c r="I169" s="446" t="s">
        <v>947</v>
      </c>
    </row>
    <row r="170" spans="1:9" x14ac:dyDescent="0.25">
      <c r="A170" s="584"/>
      <c r="B170" s="583"/>
      <c r="C170" s="583"/>
      <c r="D170" s="584"/>
      <c r="E170" s="585"/>
      <c r="F170" s="586" t="s">
        <v>949</v>
      </c>
      <c r="G170" s="457"/>
      <c r="H170" s="583" t="s">
        <v>948</v>
      </c>
      <c r="I170" s="583" t="s">
        <v>961</v>
      </c>
    </row>
    <row r="171" spans="1:9" ht="31.5" x14ac:dyDescent="0.25">
      <c r="A171" s="584"/>
      <c r="B171" s="583"/>
      <c r="C171" s="583"/>
      <c r="D171" s="584"/>
      <c r="E171" s="585"/>
      <c r="F171" s="586"/>
      <c r="G171" s="456" t="s">
        <v>950</v>
      </c>
      <c r="H171" s="583"/>
      <c r="I171" s="583"/>
    </row>
    <row r="172" spans="1:9" x14ac:dyDescent="0.25">
      <c r="A172" s="584"/>
      <c r="B172" s="583"/>
      <c r="C172" s="583"/>
      <c r="D172" s="584"/>
      <c r="E172" s="585"/>
      <c r="F172" s="586"/>
      <c r="G172" s="456" t="s">
        <v>951</v>
      </c>
      <c r="H172" s="583"/>
      <c r="I172" s="583"/>
    </row>
    <row r="173" spans="1:9" x14ac:dyDescent="0.25">
      <c r="A173" s="584"/>
      <c r="B173" s="583"/>
      <c r="C173" s="583"/>
      <c r="D173" s="584"/>
      <c r="E173" s="585"/>
      <c r="F173" s="586"/>
      <c r="G173" s="456" t="s">
        <v>952</v>
      </c>
      <c r="H173" s="583"/>
      <c r="I173" s="583"/>
    </row>
    <row r="174" spans="1:9" x14ac:dyDescent="0.25">
      <c r="A174" s="584"/>
      <c r="B174" s="583"/>
      <c r="C174" s="583"/>
      <c r="D174" s="584"/>
      <c r="E174" s="585"/>
      <c r="F174" s="586"/>
      <c r="G174" s="456" t="s">
        <v>953</v>
      </c>
      <c r="H174" s="583"/>
      <c r="I174" s="583"/>
    </row>
    <row r="175" spans="1:9" x14ac:dyDescent="0.25">
      <c r="A175" s="584"/>
      <c r="B175" s="583"/>
      <c r="C175" s="583"/>
      <c r="D175" s="584"/>
      <c r="E175" s="585"/>
      <c r="F175" s="586"/>
      <c r="G175" s="456" t="s">
        <v>954</v>
      </c>
      <c r="H175" s="583"/>
      <c r="I175" s="583"/>
    </row>
    <row r="176" spans="1:9" x14ac:dyDescent="0.25">
      <c r="A176" s="584"/>
      <c r="B176" s="583"/>
      <c r="C176" s="583"/>
      <c r="D176" s="584"/>
      <c r="E176" s="585"/>
      <c r="F176" s="586"/>
      <c r="G176" s="456" t="s">
        <v>955</v>
      </c>
      <c r="H176" s="583"/>
      <c r="I176" s="583"/>
    </row>
    <row r="177" spans="1:9" x14ac:dyDescent="0.25">
      <c r="A177" s="584"/>
      <c r="B177" s="583"/>
      <c r="C177" s="583"/>
      <c r="D177" s="584"/>
      <c r="E177" s="585"/>
      <c r="F177" s="586"/>
      <c r="G177" s="457"/>
      <c r="H177" s="583"/>
      <c r="I177" s="583"/>
    </row>
    <row r="178" spans="1:9" ht="31.5" x14ac:dyDescent="0.25">
      <c r="A178" s="584"/>
      <c r="B178" s="583"/>
      <c r="C178" s="583"/>
      <c r="D178" s="584"/>
      <c r="E178" s="585"/>
      <c r="F178" s="586"/>
      <c r="G178" s="456" t="s">
        <v>956</v>
      </c>
      <c r="H178" s="583"/>
      <c r="I178" s="583"/>
    </row>
    <row r="179" spans="1:9" x14ac:dyDescent="0.25">
      <c r="A179" s="584"/>
      <c r="B179" s="583"/>
      <c r="C179" s="583"/>
      <c r="D179" s="584"/>
      <c r="E179" s="585"/>
      <c r="F179" s="586"/>
      <c r="G179" s="456" t="s">
        <v>957</v>
      </c>
      <c r="H179" s="583"/>
      <c r="I179" s="583"/>
    </row>
    <row r="180" spans="1:9" x14ac:dyDescent="0.25">
      <c r="A180" s="584"/>
      <c r="B180" s="583"/>
      <c r="C180" s="583"/>
      <c r="D180" s="584"/>
      <c r="E180" s="585"/>
      <c r="F180" s="586"/>
      <c r="G180" s="456" t="s">
        <v>958</v>
      </c>
      <c r="H180" s="583"/>
      <c r="I180" s="583"/>
    </row>
    <row r="181" spans="1:9" x14ac:dyDescent="0.25">
      <c r="A181" s="584"/>
      <c r="B181" s="583"/>
      <c r="C181" s="583"/>
      <c r="D181" s="584"/>
      <c r="E181" s="585"/>
      <c r="F181" s="586"/>
      <c r="G181" s="456" t="s">
        <v>959</v>
      </c>
      <c r="H181" s="583"/>
      <c r="I181" s="583"/>
    </row>
    <row r="182" spans="1:9" x14ac:dyDescent="0.25">
      <c r="A182" s="584"/>
      <c r="B182" s="583"/>
      <c r="C182" s="583"/>
      <c r="D182" s="584"/>
      <c r="E182" s="585"/>
      <c r="F182" s="586"/>
      <c r="G182" s="456" t="s">
        <v>960</v>
      </c>
      <c r="H182" s="583"/>
      <c r="I182" s="583"/>
    </row>
    <row r="183" spans="1:9" x14ac:dyDescent="0.25">
      <c r="A183" s="452"/>
      <c r="B183" s="446"/>
      <c r="C183" s="446"/>
      <c r="D183" s="452"/>
      <c r="E183" s="463"/>
      <c r="F183" s="449" t="s">
        <v>962</v>
      </c>
      <c r="G183" s="449"/>
      <c r="H183" s="446" t="s">
        <v>948</v>
      </c>
      <c r="I183" s="446" t="s">
        <v>962</v>
      </c>
    </row>
    <row r="184" spans="1:9" x14ac:dyDescent="0.25">
      <c r="A184" s="452"/>
      <c r="B184" s="446"/>
      <c r="C184" s="446"/>
      <c r="D184" s="452"/>
      <c r="E184" s="463"/>
      <c r="F184" s="449" t="s">
        <v>438</v>
      </c>
      <c r="G184" s="449"/>
      <c r="H184" s="446" t="s">
        <v>948</v>
      </c>
      <c r="I184" s="446" t="s">
        <v>438</v>
      </c>
    </row>
    <row r="185" spans="1:9" x14ac:dyDescent="0.25">
      <c r="A185" s="452"/>
      <c r="B185" s="446"/>
      <c r="C185" s="446"/>
      <c r="D185" s="452"/>
      <c r="E185" s="463"/>
      <c r="F185" s="449" t="s">
        <v>963</v>
      </c>
      <c r="G185" s="449"/>
      <c r="H185" s="446" t="s">
        <v>948</v>
      </c>
      <c r="I185" s="446" t="s">
        <v>963</v>
      </c>
    </row>
    <row r="186" spans="1:9" x14ac:dyDescent="0.25">
      <c r="A186" s="452"/>
      <c r="B186" s="446"/>
      <c r="C186" s="446"/>
      <c r="D186" s="452"/>
      <c r="E186" s="463"/>
      <c r="F186" s="449" t="s">
        <v>964</v>
      </c>
      <c r="G186" s="449"/>
      <c r="H186" s="446" t="s">
        <v>948</v>
      </c>
      <c r="I186" s="446" t="s">
        <v>964</v>
      </c>
    </row>
    <row r="187" spans="1:9" x14ac:dyDescent="0.25">
      <c r="A187" s="452"/>
      <c r="B187" s="446"/>
      <c r="C187" s="446"/>
      <c r="D187" s="452"/>
      <c r="E187" s="455"/>
      <c r="F187" s="455" t="s">
        <v>965</v>
      </c>
      <c r="G187" s="462" t="s">
        <v>966</v>
      </c>
      <c r="H187" s="455" t="s">
        <v>948</v>
      </c>
      <c r="I187" s="455" t="s">
        <v>967</v>
      </c>
    </row>
    <row r="188" spans="1:9" x14ac:dyDescent="0.25">
      <c r="A188" s="584"/>
      <c r="B188" s="583"/>
      <c r="C188" s="583"/>
      <c r="D188" s="584"/>
      <c r="E188" s="585"/>
      <c r="F188" s="586" t="s">
        <v>968</v>
      </c>
      <c r="G188" s="456" t="s">
        <v>969</v>
      </c>
      <c r="H188" s="583" t="s">
        <v>948</v>
      </c>
      <c r="I188" s="583" t="s">
        <v>968</v>
      </c>
    </row>
    <row r="189" spans="1:9" x14ac:dyDescent="0.25">
      <c r="A189" s="584"/>
      <c r="B189" s="583"/>
      <c r="C189" s="583"/>
      <c r="D189" s="584"/>
      <c r="E189" s="585"/>
      <c r="F189" s="586"/>
      <c r="G189" s="456" t="s">
        <v>970</v>
      </c>
      <c r="H189" s="583"/>
      <c r="I189" s="583"/>
    </row>
    <row r="190" spans="1:9" x14ac:dyDescent="0.25">
      <c r="A190" s="584"/>
      <c r="B190" s="583"/>
      <c r="C190" s="583"/>
      <c r="D190" s="584"/>
      <c r="E190" s="585"/>
      <c r="F190" s="586"/>
      <c r="G190" s="456" t="s">
        <v>971</v>
      </c>
      <c r="H190" s="583"/>
      <c r="I190" s="583"/>
    </row>
    <row r="191" spans="1:9" x14ac:dyDescent="0.25">
      <c r="A191" s="584"/>
      <c r="B191" s="583"/>
      <c r="C191" s="583"/>
      <c r="D191" s="584"/>
      <c r="E191" s="585"/>
      <c r="F191" s="586"/>
      <c r="G191" s="456" t="s">
        <v>972</v>
      </c>
      <c r="H191" s="583"/>
      <c r="I191" s="583"/>
    </row>
    <row r="192" spans="1:9" x14ac:dyDescent="0.25">
      <c r="A192" s="452"/>
      <c r="B192" s="446"/>
      <c r="C192" s="446"/>
      <c r="D192" s="452"/>
      <c r="E192" s="463"/>
      <c r="F192" s="449" t="s">
        <v>718</v>
      </c>
      <c r="G192" s="449" t="s">
        <v>973</v>
      </c>
      <c r="H192" s="446" t="s">
        <v>948</v>
      </c>
      <c r="I192" s="446" t="s">
        <v>718</v>
      </c>
    </row>
    <row r="193" spans="1:9" x14ac:dyDescent="0.25">
      <c r="A193" s="446"/>
      <c r="B193" s="446"/>
      <c r="C193" s="446"/>
      <c r="D193" s="446"/>
      <c r="E193" s="454"/>
      <c r="F193" s="454"/>
      <c r="G193" s="454"/>
      <c r="H193" s="446"/>
      <c r="I193" s="446"/>
    </row>
    <row r="194" spans="1:9" x14ac:dyDescent="0.25">
      <c r="A194" s="446"/>
      <c r="B194" s="446"/>
      <c r="C194" s="446"/>
      <c r="D194" s="446"/>
      <c r="E194" s="454"/>
      <c r="F194" s="454"/>
      <c r="G194" s="454"/>
      <c r="H194" s="446"/>
      <c r="I194" s="446"/>
    </row>
    <row r="195" spans="1:9" x14ac:dyDescent="0.25">
      <c r="A195" s="446"/>
      <c r="B195" s="446"/>
      <c r="C195" s="446"/>
      <c r="D195" s="446"/>
      <c r="E195" s="454"/>
      <c r="F195" s="454"/>
      <c r="G195" s="454"/>
      <c r="H195" s="446"/>
      <c r="I195" s="446"/>
    </row>
    <row r="196" spans="1:9" x14ac:dyDescent="0.25">
      <c r="A196" s="446"/>
      <c r="B196" s="446"/>
      <c r="C196" s="446"/>
      <c r="D196" s="446"/>
      <c r="E196" s="454"/>
      <c r="F196" s="454"/>
      <c r="G196" s="454"/>
      <c r="H196" s="446"/>
      <c r="I196" s="446"/>
    </row>
    <row r="197" spans="1:9" x14ac:dyDescent="0.25">
      <c r="A197" s="446"/>
      <c r="B197" s="446"/>
      <c r="C197" s="446"/>
      <c r="D197" s="446"/>
      <c r="E197" s="454"/>
      <c r="F197" s="454"/>
      <c r="G197" s="454"/>
      <c r="H197" s="446"/>
      <c r="I197" s="446"/>
    </row>
    <row r="198" spans="1:9" x14ac:dyDescent="0.25">
      <c r="A198" s="446"/>
      <c r="B198" s="446"/>
      <c r="C198" s="446"/>
      <c r="D198" s="446"/>
      <c r="E198" s="454"/>
      <c r="F198" s="454"/>
      <c r="G198" s="454"/>
      <c r="H198" s="446"/>
      <c r="I198" s="446"/>
    </row>
    <row r="199" spans="1:9" x14ac:dyDescent="0.25">
      <c r="A199" s="446"/>
      <c r="B199" s="446"/>
      <c r="C199" s="446"/>
      <c r="D199" s="446"/>
      <c r="E199" s="454"/>
      <c r="F199" s="454"/>
      <c r="G199" s="454"/>
      <c r="H199" s="446"/>
      <c r="I199" s="446"/>
    </row>
    <row r="200" spans="1:9" x14ac:dyDescent="0.25">
      <c r="A200" s="446"/>
      <c r="B200" s="446"/>
      <c r="C200" s="446"/>
      <c r="D200" s="446"/>
      <c r="E200" s="454"/>
      <c r="F200" s="454"/>
      <c r="G200" s="454"/>
      <c r="H200" s="446"/>
      <c r="I200" s="446"/>
    </row>
    <row r="201" spans="1:9" x14ac:dyDescent="0.25">
      <c r="A201" s="446"/>
      <c r="B201" s="446"/>
      <c r="C201" s="446"/>
      <c r="D201" s="446"/>
      <c r="E201" s="454"/>
      <c r="F201" s="454"/>
      <c r="G201" s="454"/>
      <c r="H201" s="446"/>
      <c r="I201" s="446"/>
    </row>
    <row r="202" spans="1:9" x14ac:dyDescent="0.25">
      <c r="A202" s="446"/>
      <c r="B202" s="446"/>
      <c r="C202" s="446"/>
      <c r="D202" s="446"/>
      <c r="E202" s="454"/>
      <c r="F202" s="454"/>
      <c r="G202" s="454"/>
      <c r="H202" s="446"/>
      <c r="I202" s="446"/>
    </row>
    <row r="203" spans="1:9" x14ac:dyDescent="0.25">
      <c r="A203" s="446"/>
      <c r="B203" s="446"/>
      <c r="C203" s="446"/>
      <c r="D203" s="446"/>
      <c r="E203" s="454"/>
      <c r="F203" s="454"/>
      <c r="G203" s="454"/>
      <c r="H203" s="446"/>
      <c r="I203" s="446"/>
    </row>
    <row r="204" spans="1:9" x14ac:dyDescent="0.25">
      <c r="A204" s="446"/>
      <c r="B204" s="446"/>
      <c r="C204" s="446"/>
      <c r="D204" s="446"/>
      <c r="E204" s="454"/>
      <c r="F204" s="454"/>
      <c r="G204" s="454"/>
      <c r="H204" s="446"/>
      <c r="I204" s="446"/>
    </row>
    <row r="205" spans="1:9" x14ac:dyDescent="0.25">
      <c r="A205" s="446"/>
      <c r="B205" s="446"/>
      <c r="C205" s="446"/>
      <c r="D205" s="446"/>
      <c r="E205" s="454"/>
      <c r="F205" s="454"/>
      <c r="G205" s="454"/>
      <c r="H205" s="446"/>
      <c r="I205" s="446"/>
    </row>
    <row r="206" spans="1:9" x14ac:dyDescent="0.25">
      <c r="A206" s="446"/>
      <c r="B206" s="446"/>
      <c r="C206" s="446"/>
      <c r="D206" s="446"/>
      <c r="E206" s="454"/>
      <c r="F206" s="454"/>
      <c r="G206" s="454"/>
      <c r="H206" s="446"/>
      <c r="I206" s="446"/>
    </row>
    <row r="207" spans="1:9" x14ac:dyDescent="0.25">
      <c r="A207" s="446"/>
      <c r="B207" s="446"/>
      <c r="C207" s="446"/>
      <c r="D207" s="446"/>
      <c r="E207" s="454"/>
      <c r="F207" s="454"/>
      <c r="G207" s="454"/>
      <c r="H207" s="446"/>
      <c r="I207" s="446"/>
    </row>
    <row r="208" spans="1:9" x14ac:dyDescent="0.25">
      <c r="A208" s="446"/>
      <c r="B208" s="446"/>
      <c r="C208" s="446"/>
      <c r="D208" s="446"/>
      <c r="E208" s="454"/>
      <c r="F208" s="454"/>
      <c r="G208" s="454"/>
      <c r="H208" s="446"/>
      <c r="I208" s="446"/>
    </row>
  </sheetData>
  <mergeCells count="168">
    <mergeCell ref="H4:H10"/>
    <mergeCell ref="I4:I10"/>
    <mergeCell ref="A14:A15"/>
    <mergeCell ref="B14:B15"/>
    <mergeCell ref="C14:C15"/>
    <mergeCell ref="E14:E15"/>
    <mergeCell ref="F14:F15"/>
    <mergeCell ref="G14:G15"/>
    <mergeCell ref="H14:H15"/>
    <mergeCell ref="I14:I15"/>
    <mergeCell ref="A4:A10"/>
    <mergeCell ref="B4:B10"/>
    <mergeCell ref="C4:C10"/>
    <mergeCell ref="D4:D10"/>
    <mergeCell ref="E4:E10"/>
    <mergeCell ref="F4:F10"/>
    <mergeCell ref="H16:H17"/>
    <mergeCell ref="I16:I17"/>
    <mergeCell ref="A31:A42"/>
    <mergeCell ref="B31:B42"/>
    <mergeCell ref="C31:C42"/>
    <mergeCell ref="D31:D42"/>
    <mergeCell ref="E31:E42"/>
    <mergeCell ref="F31:F42"/>
    <mergeCell ref="H31:H42"/>
    <mergeCell ref="I31:I42"/>
    <mergeCell ref="A16:A17"/>
    <mergeCell ref="B16:B17"/>
    <mergeCell ref="D16:D17"/>
    <mergeCell ref="E16:E17"/>
    <mergeCell ref="F16:F17"/>
    <mergeCell ref="G16:G17"/>
    <mergeCell ref="H62:H66"/>
    <mergeCell ref="I62:I66"/>
    <mergeCell ref="A67:A71"/>
    <mergeCell ref="B67:B71"/>
    <mergeCell ref="C67:C71"/>
    <mergeCell ref="D67:D71"/>
    <mergeCell ref="E67:E71"/>
    <mergeCell ref="F67:F71"/>
    <mergeCell ref="H67:H71"/>
    <mergeCell ref="I67:I71"/>
    <mergeCell ref="A62:A66"/>
    <mergeCell ref="B62:B66"/>
    <mergeCell ref="C62:C66"/>
    <mergeCell ref="D62:D66"/>
    <mergeCell ref="E62:E66"/>
    <mergeCell ref="F62:F66"/>
    <mergeCell ref="H72:H76"/>
    <mergeCell ref="I72:I76"/>
    <mergeCell ref="A77:A81"/>
    <mergeCell ref="B77:B81"/>
    <mergeCell ref="C77:C81"/>
    <mergeCell ref="D77:D81"/>
    <mergeCell ref="E77:E81"/>
    <mergeCell ref="F77:F81"/>
    <mergeCell ref="H77:H81"/>
    <mergeCell ref="I77:I81"/>
    <mergeCell ref="A72:A76"/>
    <mergeCell ref="B72:B76"/>
    <mergeCell ref="C72:C76"/>
    <mergeCell ref="D72:D76"/>
    <mergeCell ref="E72:E76"/>
    <mergeCell ref="F72:F76"/>
    <mergeCell ref="H82:H86"/>
    <mergeCell ref="I82:I86"/>
    <mergeCell ref="A87:A91"/>
    <mergeCell ref="B87:B91"/>
    <mergeCell ref="C87:C91"/>
    <mergeCell ref="D87:D91"/>
    <mergeCell ref="E87:E91"/>
    <mergeCell ref="F87:F91"/>
    <mergeCell ref="H87:H91"/>
    <mergeCell ref="I87:I91"/>
    <mergeCell ref="A82:A86"/>
    <mergeCell ref="B82:B86"/>
    <mergeCell ref="C82:C86"/>
    <mergeCell ref="D82:D86"/>
    <mergeCell ref="E82:E86"/>
    <mergeCell ref="F82:F86"/>
    <mergeCell ref="G102:G103"/>
    <mergeCell ref="I102:I103"/>
    <mergeCell ref="A104:A105"/>
    <mergeCell ref="B104:B105"/>
    <mergeCell ref="C104:C105"/>
    <mergeCell ref="D104:D105"/>
    <mergeCell ref="E104:E105"/>
    <mergeCell ref="F104:F105"/>
    <mergeCell ref="G104:G105"/>
    <mergeCell ref="I104:I105"/>
    <mergeCell ref="A102:A103"/>
    <mergeCell ref="B102:B103"/>
    <mergeCell ref="C102:C103"/>
    <mergeCell ref="D102:D103"/>
    <mergeCell ref="E102:E103"/>
    <mergeCell ref="F102:F103"/>
    <mergeCell ref="G106:G107"/>
    <mergeCell ref="I106:I107"/>
    <mergeCell ref="A108:A109"/>
    <mergeCell ref="B108:B109"/>
    <mergeCell ref="C108:C109"/>
    <mergeCell ref="D108:D109"/>
    <mergeCell ref="E108:E109"/>
    <mergeCell ref="F108:F109"/>
    <mergeCell ref="H108:H109"/>
    <mergeCell ref="I108:I109"/>
    <mergeCell ref="A106:A107"/>
    <mergeCell ref="B106:B107"/>
    <mergeCell ref="C106:C107"/>
    <mergeCell ref="D106:D107"/>
    <mergeCell ref="E106:E107"/>
    <mergeCell ref="F106:F107"/>
    <mergeCell ref="H116:H117"/>
    <mergeCell ref="I116:I117"/>
    <mergeCell ref="A138:A141"/>
    <mergeCell ref="B138:B141"/>
    <mergeCell ref="C138:C141"/>
    <mergeCell ref="D138:D141"/>
    <mergeCell ref="E138:E141"/>
    <mergeCell ref="F138:F141"/>
    <mergeCell ref="H138:H141"/>
    <mergeCell ref="I138:I141"/>
    <mergeCell ref="A116:A117"/>
    <mergeCell ref="B116:B117"/>
    <mergeCell ref="C116:C117"/>
    <mergeCell ref="D116:D117"/>
    <mergeCell ref="E116:E117"/>
    <mergeCell ref="F116:F117"/>
    <mergeCell ref="H142:H145"/>
    <mergeCell ref="I142:I145"/>
    <mergeCell ref="A146:A147"/>
    <mergeCell ref="B146:B147"/>
    <mergeCell ref="C146:C147"/>
    <mergeCell ref="D146:D147"/>
    <mergeCell ref="E146:E147"/>
    <mergeCell ref="F146:F147"/>
    <mergeCell ref="H146:H147"/>
    <mergeCell ref="I146:I147"/>
    <mergeCell ref="A142:A145"/>
    <mergeCell ref="B142:B145"/>
    <mergeCell ref="C142:C145"/>
    <mergeCell ref="D142:D145"/>
    <mergeCell ref="E142:E145"/>
    <mergeCell ref="F142:F145"/>
    <mergeCell ref="H188:H191"/>
    <mergeCell ref="I188:I191"/>
    <mergeCell ref="A188:A191"/>
    <mergeCell ref="B188:B191"/>
    <mergeCell ref="C188:C191"/>
    <mergeCell ref="D188:D191"/>
    <mergeCell ref="E188:E191"/>
    <mergeCell ref="F188:F191"/>
    <mergeCell ref="H148:H149"/>
    <mergeCell ref="I148:I149"/>
    <mergeCell ref="A170:A182"/>
    <mergeCell ref="B170:B182"/>
    <mergeCell ref="C170:C182"/>
    <mergeCell ref="D170:D182"/>
    <mergeCell ref="E170:E182"/>
    <mergeCell ref="F170:F182"/>
    <mergeCell ref="H170:H182"/>
    <mergeCell ref="I170:I182"/>
    <mergeCell ref="A148:A149"/>
    <mergeCell ref="B148:B149"/>
    <mergeCell ref="C148:C149"/>
    <mergeCell ref="D148:D149"/>
    <mergeCell ref="E148:E149"/>
    <mergeCell ref="F148:F149"/>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22</vt:i4>
      </vt:variant>
    </vt:vector>
  </HeadingPairs>
  <TitlesOfParts>
    <vt:vector size="22" baseType="lpstr">
      <vt:lpstr>CASE INPUTS</vt:lpstr>
      <vt:lpstr>DATA</vt:lpstr>
      <vt:lpstr>3.PropInt (LOAD)</vt:lpstr>
      <vt:lpstr>4.ProjOccupancy (LOAD)</vt:lpstr>
      <vt:lpstr>5.Projection_Annual (LOAD)</vt:lpstr>
      <vt:lpstr>6.TXFINANCIAL&amp;INFLATOR (LOAD) </vt:lpstr>
      <vt:lpstr>7.Rents (LOAD)</vt:lpstr>
      <vt:lpstr>8.Event Dates (LOAD)</vt:lpstr>
      <vt:lpstr>9.Investor (LOAD)</vt:lpstr>
      <vt:lpstr>10-Property(Checker)</vt:lpstr>
      <vt:lpstr>11.Property(UPDATE)</vt:lpstr>
      <vt:lpstr>12.TXPROP (LOAD)</vt:lpstr>
      <vt:lpstr>13.EquityInstallments (LOAD)</vt:lpstr>
      <vt:lpstr>14.Commitment (LOAD)</vt:lpstr>
      <vt:lpstr>15. Payment (LOAD)</vt:lpstr>
      <vt:lpstr>16.Projection (LOAD)</vt:lpstr>
      <vt:lpstr>17.PartnerAgree (UPDATE)</vt:lpstr>
      <vt:lpstr>18.Loan (LOAD)</vt:lpstr>
      <vt:lpstr>19.Collection Rules (LOAD)</vt:lpstr>
      <vt:lpstr>20.Notification_Rule (LOAD)</vt:lpstr>
      <vt:lpstr>VERIFICATION STEPS</vt:lpstr>
      <vt:lpstr>REFERENCE TAB</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Vincent Reyes</dc:creator>
  <cp:lastModifiedBy>Vincent Reyes</cp:lastModifiedBy>
  <dcterms:created xsi:type="dcterms:W3CDTF">2025-06-20T18:33:57Z</dcterms:created>
  <dcterms:modified xsi:type="dcterms:W3CDTF">2026-07-30T15:39:10Z</dcterms:modified>
</cp:coreProperties>
</file>