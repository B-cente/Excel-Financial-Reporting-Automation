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metadata.xml" ContentType="application/vnd.openxmlformats-officedocument.spreadsheetml.sheetMetadata+xml"/>
  <Override PartName="/xl/persons/person.xml" ContentType="application/vnd.ms-excel.person+xml"/>
  <Override PartName="/xl/featurePropertyBag/featurePropertyBag.xml" ContentType="application/vnd.ms-excel.featurepropertybag+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Override PartName="/xl/richData/rdrichvaluestructure.xml" ContentType="application/vnd.ms-excel.rdrichvaluestructure+xml"/>
  <Override PartName="/xl/richData/rdrichvalue.xml" ContentType="application/vnd.ms-excel.rdrichvalue+xml"/>
  <Override PartName="/xl/comments1.xml" ContentType="application/vnd.openxmlformats-officedocument.spreadsheetml.comments+xml"/>
  <Override PartName="/xl/threadedComments/threadedComment1.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Jairah.Nepomuceno\Documents\IC LOAD\Property &amp; Fund Setup\Nationwide\Property &amp; Fund\"/>
    </mc:Choice>
  </mc:AlternateContent>
  <xr:revisionPtr revIDLastSave="0" documentId="13_ncr:1_{7023B37B-A8B7-48A8-A674-A4067713A597}" xr6:coauthVersionLast="47" xr6:coauthVersionMax="47" xr10:uidLastSave="{00000000-0000-0000-0000-000000000000}"/>
  <bookViews>
    <workbookView xWindow="57480" yWindow="-120" windowWidth="29040" windowHeight="15720" tabRatio="857" firstSheet="5" activeTab="12" xr2:uid="{2E84620C-109E-47B1-811A-F4350A83D81E}"/>
  </bookViews>
  <sheets>
    <sheet name="GENERAL Instructions" sheetId="21" r:id="rId1"/>
    <sheet name="Property Setup Instructions" sheetId="18" r:id="rId2"/>
    <sheet name="Property" sheetId="15" r:id="rId3"/>
    <sheet name="Property - 4 (UPDATE)" sheetId="1" r:id="rId4"/>
    <sheet name="TXProp -5 (UPDATE)" sheetId="2" r:id="rId5"/>
    <sheet name="TXFinanicial_IC - 6 (LOAD)" sheetId="3" r:id="rId6"/>
    <sheet name="Event_Dates - 7 (LOAD)" sheetId="4" r:id="rId7"/>
    <sheet name="Commitment - 8 (LOAD)" sheetId="5" r:id="rId8"/>
    <sheet name="Payment - 9 (LOAD)" sheetId="17" r:id="rId9"/>
    <sheet name="PropInt- 10 (LOAD) " sheetId="6" r:id="rId10"/>
    <sheet name="Loan - 11 (LOAD)" sheetId="7" r:id="rId11"/>
    <sheet name="PropParties -12 (LOAD)" sheetId="8" r:id="rId12"/>
    <sheet name="Investors - 13 (LOAD)" sheetId="10" r:id="rId13"/>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9" i="10" l="1"/>
  <c r="B3" i="10" a="1"/>
  <c r="B3" i="10" s="1"/>
  <c r="C3" i="10" a="1"/>
  <c r="C3" i="10" s="1"/>
  <c r="E3" i="5" a="1"/>
  <c r="E3" i="5" s="1"/>
  <c r="A3" i="5" a="1"/>
  <c r="A3" i="5" s="1"/>
  <c r="F10" i="10" l="1" a="1"/>
  <c r="F10" i="10" s="1"/>
  <c r="B10" i="10" a="1"/>
  <c r="B10" i="10" s="1"/>
  <c r="I3" i="10" l="1" a="1"/>
  <c r="I3" i="10" s="1"/>
  <c r="D3" i="10" a="1"/>
  <c r="D3" i="10" s="1"/>
  <c r="B16" i="10" a="1"/>
  <c r="B16" i="10" s="1"/>
  <c r="A16" i="10" s="1" a="1"/>
  <c r="A16" i="10" s="1"/>
  <c r="A10" i="10" a="1"/>
  <c r="A10" i="10" s="1"/>
  <c r="A12" i="10" l="1" a="1"/>
  <c r="A12" i="10" s="1"/>
  <c r="A11" i="10" a="1"/>
  <c r="A11" i="10" s="1"/>
  <c r="A15" i="10" a="1"/>
  <c r="A15" i="10" s="1"/>
  <c r="A14" i="10" a="1"/>
  <c r="A14" i="10" s="1"/>
  <c r="A13" i="10" a="1"/>
  <c r="A13" i="10" s="1"/>
  <c r="A3" i="10" a="1"/>
  <c r="A3" i="10" s="1"/>
  <c r="E5" i="8" l="1" a="1"/>
  <c r="E5" i="8" s="1"/>
  <c r="B12" i="5" a="1"/>
  <c r="B12" i="5" s="1"/>
  <c r="B33" i="17" a="1"/>
  <c r="B33" i="17" s="1"/>
  <c r="E3" i="3" a="1"/>
  <c r="E3" i="3" s="1"/>
  <c r="B11" i="17" a="1"/>
  <c r="B11" i="17" s="1"/>
  <c r="C3" i="17" a="1"/>
  <c r="C3" i="17" s="1"/>
  <c r="E5" i="5" a="1"/>
  <c r="E5" i="5" l="1"/>
  <c r="E4" i="8" a="1"/>
  <c r="E4" i="8" s="1"/>
  <c r="B13" i="5" a="1"/>
  <c r="B13" i="5" s="1"/>
  <c r="B21" i="17" a="1"/>
  <c r="B21" i="17" s="1"/>
  <c r="B22" i="17" a="1"/>
  <c r="B22" i="17" s="1"/>
  <c r="B18" i="5" a="1"/>
  <c r="B18" i="5" s="1"/>
  <c r="B5" i="17" a="1"/>
  <c r="B5" i="17" s="1"/>
  <c r="B5" i="5" a="1"/>
  <c r="B5" i="5" s="1"/>
  <c r="B25" i="5" a="1"/>
  <c r="B25" i="5" s="1"/>
  <c r="B3" i="17" a="1"/>
  <c r="B3" i="17" s="1"/>
  <c r="B3" i="5" a="1"/>
  <c r="B3" i="5" s="1"/>
  <c r="B32" i="17" a="1"/>
  <c r="B32" i="17" s="1"/>
  <c r="B8" i="17" a="1"/>
  <c r="B8" i="17" s="1"/>
  <c r="B24" i="17" a="1"/>
  <c r="B24" i="17" s="1"/>
  <c r="B18" i="17" a="1"/>
  <c r="B18" i="17" s="1"/>
  <c r="B14" i="5" a="1"/>
  <c r="B14" i="5" s="1"/>
  <c r="B16" i="5" a="1"/>
  <c r="B16" i="5" s="1"/>
  <c r="B26" i="5" a="1"/>
  <c r="B26" i="5" s="1"/>
  <c r="B27" i="5" a="1"/>
  <c r="B27" i="5" s="1"/>
  <c r="B29" i="5" a="1"/>
  <c r="B29" i="5" s="1"/>
  <c r="B31" i="5" a="1"/>
  <c r="B31" i="5" s="1"/>
  <c r="B20" i="17" a="1"/>
  <c r="B20" i="17" s="1"/>
  <c r="B34" i="17" a="1"/>
  <c r="B34" i="17" s="1"/>
  <c r="B28" i="5" a="1"/>
  <c r="B28" i="5" s="1"/>
  <c r="B10" i="17" a="1"/>
  <c r="B10" i="17" s="1"/>
  <c r="B15" i="5" a="1"/>
  <c r="B15" i="5" s="1"/>
  <c r="B30" i="5" a="1"/>
  <c r="B30" i="5" s="1"/>
  <c r="B17" i="5" a="1"/>
  <c r="B17" i="5" s="1"/>
  <c r="B4" i="5" a="1"/>
  <c r="B4" i="5" s="1"/>
  <c r="B23" i="17" a="1"/>
  <c r="B23" i="17" s="1"/>
  <c r="B9" i="17" a="1"/>
  <c r="B9" i="17" s="1"/>
  <c r="G5" i="5" a="1"/>
  <c r="G5" i="5" s="1"/>
  <c r="B7" i="17" a="1"/>
  <c r="B7" i="17" s="1"/>
  <c r="B19" i="17" a="1"/>
  <c r="B19" i="17" s="1"/>
  <c r="B6" i="17" a="1"/>
  <c r="B6" i="17" s="1"/>
  <c r="C28" i="5" a="1"/>
  <c r="C28" i="5" s="1"/>
  <c r="B31" i="17" a="1"/>
  <c r="B31" i="17" s="1"/>
  <c r="C30" i="5" a="1"/>
  <c r="C30" i="5" s="1"/>
  <c r="B23" i="5" a="1"/>
  <c r="B23" i="5" s="1"/>
  <c r="B11" i="5" a="1"/>
  <c r="B11" i="5" s="1"/>
  <c r="B30" i="17" a="1"/>
  <c r="B30" i="17" s="1"/>
  <c r="B16" i="17" a="1"/>
  <c r="B16" i="17" s="1"/>
  <c r="B24" i="5" a="1"/>
  <c r="B24" i="5" s="1"/>
  <c r="B22" i="5" a="1"/>
  <c r="B22" i="5" s="1"/>
  <c r="B29" i="17" a="1"/>
  <c r="B29" i="17" s="1"/>
  <c r="B15" i="17" a="1"/>
  <c r="B15" i="17" s="1"/>
  <c r="B35" i="5" a="1"/>
  <c r="B35" i="5" s="1"/>
  <c r="B21" i="5" a="1"/>
  <c r="B21" i="5" s="1"/>
  <c r="B9" i="5" a="1"/>
  <c r="B9" i="5" s="1"/>
  <c r="B28" i="17" a="1"/>
  <c r="B28" i="17" s="1"/>
  <c r="B14" i="17" a="1"/>
  <c r="B14" i="17" s="1"/>
  <c r="D3" i="3" a="1"/>
  <c r="D3" i="3" s="1"/>
  <c r="E3" i="17" a="1"/>
  <c r="B34" i="5" a="1"/>
  <c r="B34" i="5" s="1"/>
  <c r="B20" i="5" a="1"/>
  <c r="B20" i="5" s="1"/>
  <c r="B8" i="5" a="1"/>
  <c r="B8" i="5" s="1"/>
  <c r="B27" i="17" a="1"/>
  <c r="B27" i="17" s="1"/>
  <c r="B13" i="17" a="1"/>
  <c r="B13" i="17" s="1"/>
  <c r="B17" i="17" a="1"/>
  <c r="B17" i="17" s="1"/>
  <c r="B10" i="5" a="1"/>
  <c r="B10" i="5" s="1"/>
  <c r="C20" i="5" a="1"/>
  <c r="C20" i="5" s="1"/>
  <c r="B33" i="5" a="1"/>
  <c r="B33" i="5" s="1"/>
  <c r="B7" i="5" a="1"/>
  <c r="B7" i="5" s="1"/>
  <c r="B26" i="17" a="1"/>
  <c r="B26" i="17" s="1"/>
  <c r="B12" i="17" a="1"/>
  <c r="B12" i="17" s="1"/>
  <c r="B4" i="17" a="1"/>
  <c r="B4" i="17" s="1"/>
  <c r="B36" i="5" a="1"/>
  <c r="B36" i="5" s="1"/>
  <c r="B32" i="5" a="1"/>
  <c r="B32" i="5" s="1"/>
  <c r="B19" i="5" a="1"/>
  <c r="B19" i="5" s="1"/>
  <c r="B6" i="5" a="1"/>
  <c r="B6" i="5" s="1"/>
  <c r="B25" i="17" a="1"/>
  <c r="B25" i="17" s="1"/>
  <c r="C17" i="5" a="1"/>
  <c r="C17" i="5" s="1"/>
  <c r="C15" i="5" a="1"/>
  <c r="C15" i="5" s="1"/>
  <c r="F5" i="5" a="1"/>
  <c r="F5" i="5" s="1"/>
  <c r="A3" i="8" a="1"/>
  <c r="A3" i="8" s="1"/>
  <c r="C10" i="5" a="1"/>
  <c r="C10" i="5" s="1"/>
  <c r="E3" i="8" a="1"/>
  <c r="E3" i="8" s="1"/>
  <c r="C23" i="5" a="1"/>
  <c r="C23" i="5" s="1"/>
  <c r="E3" i="17" l="1"/>
  <c r="C16" i="5" a="1"/>
  <c r="C16" i="5" s="1"/>
  <c r="C29" i="5" a="1"/>
  <c r="C29" i="5" s="1"/>
  <c r="C32" i="5" a="1"/>
  <c r="C32" i="5" s="1"/>
  <c r="C13" i="5" a="1"/>
  <c r="C13" i="5" s="1"/>
  <c r="C27" i="5" a="1"/>
  <c r="C27" i="5" s="1"/>
  <c r="C3" i="5" a="1"/>
  <c r="C3" i="5" s="1"/>
  <c r="C11" i="5" a="1"/>
  <c r="C11" i="5" s="1"/>
  <c r="C25" i="5" a="1"/>
  <c r="C25" i="5" s="1"/>
  <c r="C33" i="5" a="1"/>
  <c r="C33" i="5" s="1"/>
  <c r="C35" i="5" a="1"/>
  <c r="C35" i="5" s="1"/>
  <c r="C6" i="5" a="1"/>
  <c r="C6" i="5" s="1"/>
  <c r="C7" i="5" a="1"/>
  <c r="C7" i="5" s="1"/>
  <c r="C34" i="5" a="1"/>
  <c r="C34" i="5" s="1"/>
  <c r="C14" i="5" a="1"/>
  <c r="C14" i="5" s="1"/>
  <c r="C5" i="5" a="1"/>
  <c r="C5" i="5" s="1"/>
  <c r="C8" i="5" a="1"/>
  <c r="C8" i="5" s="1"/>
  <c r="C18" i="5" a="1"/>
  <c r="C18" i="5" s="1"/>
  <c r="C36" i="5" a="1"/>
  <c r="C36" i="5" s="1"/>
  <c r="C9" i="5" a="1"/>
  <c r="C9" i="5" s="1"/>
  <c r="C31" i="5" a="1"/>
  <c r="C31" i="5" s="1"/>
  <c r="C22" i="5" a="1"/>
  <c r="C22" i="5" s="1"/>
  <c r="C21" i="5" a="1"/>
  <c r="C21" i="5" s="1"/>
  <c r="C19" i="5" a="1"/>
  <c r="C19" i="5" s="1"/>
  <c r="C24" i="5" a="1"/>
  <c r="C24" i="5" s="1"/>
  <c r="C26" i="5" a="1"/>
  <c r="C26" i="5" s="1"/>
  <c r="C12" i="5" a="1"/>
  <c r="C12" i="5" s="1"/>
  <c r="F3" i="17" a="1"/>
  <c r="F3" i="17" s="1"/>
  <c r="C4" i="5" a="1"/>
  <c r="C4" i="5" s="1"/>
  <c r="G3" i="17" a="1"/>
  <c r="G3" i="17" s="1"/>
  <c r="H5" i="5" a="1"/>
  <c r="H5" i="5" s="1"/>
  <c r="A3" i="7" a="1"/>
  <c r="A3" i="7" l="1"/>
  <c r="A3" i="3" l="1" a="1"/>
  <c r="A3" i="3" l="1"/>
  <c r="A3" i="2" a="1"/>
  <c r="A3" i="2" s="1"/>
  <c r="B3" i="2" a="1"/>
  <c r="B3" i="2" s="1"/>
  <c r="C3" i="2" a="1"/>
  <c r="C3" i="2" s="1"/>
  <c r="D3" i="2" a="1"/>
  <c r="D3" i="2" s="1"/>
  <c r="E3" i="2" a="1"/>
  <c r="E3" i="2" s="1"/>
  <c r="F3" i="2" a="1"/>
  <c r="F3" i="2" s="1"/>
  <c r="G3" i="2" a="1"/>
  <c r="G3" i="2" s="1"/>
  <c r="H3" i="2" a="1"/>
  <c r="H3" i="2" s="1"/>
  <c r="I3" i="2" a="1"/>
  <c r="I3" i="2" s="1"/>
  <c r="J3" i="2" a="1"/>
  <c r="J3" i="2" s="1"/>
  <c r="K3" i="2" a="1"/>
  <c r="K3" i="2" s="1"/>
  <c r="L3" i="2" a="1"/>
  <c r="L3" i="2" s="1"/>
  <c r="M3" i="2" a="1"/>
  <c r="M3" i="2" s="1"/>
  <c r="N3" i="2" a="1"/>
  <c r="N3" i="2" s="1"/>
  <c r="O3" i="2" a="1"/>
  <c r="O3" i="2" s="1"/>
  <c r="P3" i="2" a="1"/>
  <c r="P3" i="2" s="1"/>
  <c r="Q3" i="2" a="1"/>
  <c r="Q3" i="2" s="1"/>
  <c r="R3" i="2" a="1"/>
  <c r="R3" i="2" s="1"/>
  <c r="S3" i="2" a="1"/>
  <c r="S3" i="2" s="1"/>
  <c r="T3" i="2" a="1"/>
  <c r="T3" i="2" s="1"/>
  <c r="U3" i="2" a="1"/>
  <c r="U3" i="2" s="1"/>
  <c r="V3" i="2" a="1"/>
  <c r="V3" i="2" s="1"/>
  <c r="W3" i="2" a="1"/>
  <c r="W3" i="2" s="1"/>
  <c r="C3" i="1" a="1"/>
  <c r="C3" i="1" s="1"/>
  <c r="A4" i="17" l="1" a="1"/>
  <c r="A4" i="17" s="1"/>
  <c r="A5" i="17" a="1"/>
  <c r="A5" i="17" s="1"/>
  <c r="A6" i="17" a="1"/>
  <c r="A6" i="17" s="1"/>
  <c r="A7" i="17" a="1"/>
  <c r="A7" i="17" s="1"/>
  <c r="A8" i="17" a="1"/>
  <c r="A8" i="17" s="1"/>
  <c r="A9" i="17" a="1"/>
  <c r="A9" i="17" s="1"/>
  <c r="A10" i="17" a="1"/>
  <c r="A10" i="17" s="1"/>
  <c r="A11" i="17" a="1"/>
  <c r="A11" i="17" s="1"/>
  <c r="A12" i="17" a="1"/>
  <c r="A12" i="17" s="1"/>
  <c r="A13" i="17" a="1"/>
  <c r="A13" i="17" s="1"/>
  <c r="A14" i="17" a="1"/>
  <c r="A14" i="17" s="1"/>
  <c r="A15" i="17" a="1"/>
  <c r="A15" i="17" s="1"/>
  <c r="A16" i="17" a="1"/>
  <c r="A16" i="17" s="1"/>
  <c r="A17" i="17" a="1"/>
  <c r="A17" i="17" s="1"/>
  <c r="A18" i="17" a="1"/>
  <c r="A18" i="17" s="1"/>
  <c r="A19" i="17" a="1"/>
  <c r="A19" i="17" s="1"/>
  <c r="A20" i="17" a="1"/>
  <c r="A20" i="17" s="1"/>
  <c r="A21" i="17" a="1"/>
  <c r="A21" i="17" s="1"/>
  <c r="A22" i="17" a="1"/>
  <c r="A22" i="17" s="1"/>
  <c r="A23" i="17" a="1"/>
  <c r="A23" i="17" s="1"/>
  <c r="A24" i="17" a="1"/>
  <c r="A24" i="17" s="1"/>
  <c r="A25" i="17" a="1"/>
  <c r="A25" i="17" s="1"/>
  <c r="A26" i="17" a="1"/>
  <c r="A26" i="17" s="1"/>
  <c r="A27" i="17" a="1"/>
  <c r="A27" i="17" s="1"/>
  <c r="A28" i="17" a="1"/>
  <c r="A28" i="17" s="1"/>
  <c r="A29" i="17" a="1"/>
  <c r="A29" i="17" s="1"/>
  <c r="A30" i="17" a="1"/>
  <c r="A30" i="17" s="1"/>
  <c r="A31" i="17" a="1"/>
  <c r="A31" i="17" s="1"/>
  <c r="A32" i="17" a="1"/>
  <c r="A32" i="17" s="1"/>
  <c r="A33" i="17" a="1"/>
  <c r="A33" i="17" s="1"/>
  <c r="A34" i="17" a="1"/>
  <c r="A34" i="17" s="1"/>
  <c r="A3" i="17" a="1"/>
  <c r="A3" i="17" s="1"/>
  <c r="A4" i="5" a="1"/>
  <c r="A4" i="5" s="1"/>
  <c r="A5" i="5" a="1"/>
  <c r="A5" i="5" s="1"/>
  <c r="A6" i="5" a="1"/>
  <c r="A6" i="5" s="1"/>
  <c r="A7" i="5" a="1"/>
  <c r="A7" i="5" s="1"/>
  <c r="A8" i="5" a="1"/>
  <c r="A8" i="5" s="1"/>
  <c r="A9" i="5" a="1"/>
  <c r="A9" i="5" s="1"/>
  <c r="A10" i="5" a="1"/>
  <c r="A10" i="5" s="1"/>
  <c r="A11" i="5" a="1"/>
  <c r="A11" i="5" s="1"/>
  <c r="A12" i="5" a="1"/>
  <c r="A12" i="5" s="1"/>
  <c r="A13" i="5" a="1"/>
  <c r="A13" i="5" s="1"/>
  <c r="A14" i="5" a="1"/>
  <c r="A14" i="5" s="1"/>
  <c r="A15" i="5" a="1"/>
  <c r="A15" i="5" s="1"/>
  <c r="A16" i="5" a="1"/>
  <c r="A16" i="5" s="1"/>
  <c r="A17" i="5" a="1"/>
  <c r="A17" i="5" s="1"/>
  <c r="A18" i="5" a="1"/>
  <c r="A18" i="5" s="1"/>
  <c r="A19" i="5" a="1"/>
  <c r="A19" i="5" s="1"/>
  <c r="A20" i="5" a="1"/>
  <c r="A20" i="5" s="1"/>
  <c r="A21" i="5" a="1"/>
  <c r="A21" i="5" s="1"/>
  <c r="A22" i="5" a="1"/>
  <c r="A22" i="5" s="1"/>
  <c r="A23" i="5" a="1"/>
  <c r="A23" i="5" s="1"/>
  <c r="A24" i="5" a="1"/>
  <c r="A24" i="5" s="1"/>
  <c r="A25" i="5" a="1"/>
  <c r="A25" i="5" s="1"/>
  <c r="A26" i="5" a="1"/>
  <c r="A26" i="5" s="1"/>
  <c r="A27" i="5" a="1"/>
  <c r="A27" i="5" s="1"/>
  <c r="A28" i="5" a="1"/>
  <c r="A28" i="5" s="1"/>
  <c r="A29" i="5" a="1"/>
  <c r="A29" i="5" s="1"/>
  <c r="A30" i="5" a="1"/>
  <c r="A30" i="5" s="1"/>
  <c r="A31" i="5" a="1"/>
  <c r="A31" i="5" s="1"/>
  <c r="A32" i="5" a="1"/>
  <c r="A32" i="5" s="1"/>
  <c r="A33" i="5" a="1"/>
  <c r="A33" i="5" s="1"/>
  <c r="A34" i="5" a="1"/>
  <c r="A34" i="5" s="1"/>
  <c r="A35" i="5" a="1"/>
  <c r="A35" i="5" s="1"/>
  <c r="A36" i="5" a="1"/>
  <c r="A36" i="5" s="1"/>
  <c r="A3" i="4" a="1"/>
  <c r="A3" i="4" s="1"/>
  <c r="A4" i="4" a="1"/>
  <c r="A4" i="4" s="1"/>
  <c r="A5" i="4" a="1"/>
  <c r="A5" i="4" s="1"/>
  <c r="H3" i="10" a="1"/>
  <c r="H3" i="10" s="1"/>
  <c r="G3" i="10" a="1"/>
  <c r="G3" i="10" s="1"/>
  <c r="E3" i="10" l="1" a="1"/>
  <c r="E3" i="10" s="1"/>
  <c r="F3" i="10" a="1"/>
  <c r="F3" i="10" s="1"/>
  <c r="B3" i="4" l="1" a="1"/>
  <c r="B3" i="4" l="1"/>
  <c r="A3" i="6" a="1"/>
  <c r="A3" i="6" s="1"/>
  <c r="H3" i="5" l="1" a="1"/>
  <c r="H3" i="5" s="1"/>
  <c r="F3" i="5" a="1"/>
  <c r="F3" i="5" s="1"/>
  <c r="E3" i="1" l="1" a="1"/>
  <c r="E3" i="1" s="1"/>
  <c r="D3" i="1" a="1"/>
  <c r="D3" i="1" s="1"/>
  <c r="B3" i="1" a="1"/>
  <c r="B3" i="1" s="1"/>
  <c r="A3" i="1" a="1"/>
  <c r="A3" i="1" s="1"/>
  <c r="F4" i="4" l="1"/>
  <c r="F5" i="4"/>
  <c r="F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tc={6110C1F0-3790-40B5-AFC6-C4292320E461}</author>
    <author>tc={F6F5EC27-0C9E-4B33-B6C9-8D7B0A4434B9}</author>
  </authors>
  <commentList>
    <comment ref="F10" authorId="0" shapeId="0" xr:uid="{6110C1F0-3790-40B5-AFC6-C4292320E461}">
      <text>
        <t xml:space="preserve">[Threaded comment]
Your version of Excel allows you to read this threaded comment; however, any edits to it will get removed if the file is opened in a newer version of Excel. Learn more: https://go.microsoft.com/fwlink/?linkid=870924
Comment:
    FOR LEGAL ENTITIES
Ownership = ‘1’ unless there are multiple legal entities, then find percentage based on each legal entity commitment amount divided by the total commitment amount. For example, the legal entities are as follows:  
nlic – $30,000 
nlaic – $25,000 
You will add up the commitment to a total of 55,000 (30,000 + 25,000) and divide each entity commitment amount by the total to get the percentage (25,000/55,000 = 45%) and (30,000/55,000 = 55%)
</t>
      </text>
    </comment>
    <comment ref="F16" authorId="1" shapeId="0" xr:uid="{F6F5EC27-0C9E-4B33-B6C9-8D7B0A4434B9}">
      <text>
        <t>[Threaded comment]
Your version of Excel allows you to read this threaded comment; however, any edits to it will get removed if the file is opened in a newer version of Excel. Learn more: https://go.microsoft.com/fwlink/?linkid=870924
Comment:
    FOR MANUAL
Ownership = ‘1’ unless there are multiple funds given.
For example: 2 funds, Ownership= .50</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<sst xmlns="http://schemas.openxmlformats.org/spreadsheetml/2006/main" count="165" uniqueCount="126">
  <si>
    <t>vcode</t>
  </si>
  <si>
    <t>vAddress1</t>
  </si>
  <si>
    <t>vCity</t>
  </si>
  <si>
    <t>vState</t>
  </si>
  <si>
    <t>vZipcode</t>
  </si>
  <si>
    <t>vCounty</t>
  </si>
  <si>
    <t>iyearbuilt</t>
  </si>
  <si>
    <t>vLowCensus</t>
  </si>
  <si>
    <t>vStatus</t>
  </si>
  <si>
    <t>vTenancy</t>
  </si>
  <si>
    <t>vproptype</t>
  </si>
  <si>
    <t>vLocationCode</t>
  </si>
  <si>
    <t>vPreservation</t>
  </si>
  <si>
    <t>vCode</t>
  </si>
  <si>
    <t>vTransType</t>
  </si>
  <si>
    <t>mAmount</t>
  </si>
  <si>
    <t>dtEffective</t>
  </si>
  <si>
    <t>vEventType</t>
  </si>
  <si>
    <t>vEvent</t>
  </si>
  <si>
    <t>vDateType</t>
  </si>
  <si>
    <t>dtEvent</t>
  </si>
  <si>
    <t>dtEntry</t>
  </si>
  <si>
    <t>vOwnerCode</t>
  </si>
  <si>
    <t>dtCommitment</t>
  </si>
  <si>
    <t>vInstallNmbr</t>
  </si>
  <si>
    <t>vType</t>
  </si>
  <si>
    <t>vCreditType</t>
  </si>
  <si>
    <t>vIntType</t>
  </si>
  <si>
    <t>iInt</t>
  </si>
  <si>
    <t>vVendor</t>
  </si>
  <si>
    <t>vLoanType</t>
  </si>
  <si>
    <t>mOrigLoanAmt</t>
  </si>
  <si>
    <t>iAmortTerm</t>
  </si>
  <si>
    <t>vLienPosition</t>
  </si>
  <si>
    <t>nRate</t>
  </si>
  <si>
    <t>vParty</t>
  </si>
  <si>
    <t>vPreference</t>
  </si>
  <si>
    <t>dtStart</t>
  </si>
  <si>
    <t>vSpecialNeeds</t>
  </si>
  <si>
    <t>nXIRR</t>
  </si>
  <si>
    <t>vUnderCensus</t>
  </si>
  <si>
    <t>vQct</t>
  </si>
  <si>
    <t>vMinCensus</t>
  </si>
  <si>
    <t>vScattered</t>
  </si>
  <si>
    <t>vDistressed</t>
  </si>
  <si>
    <t>vTaxExemptBond</t>
  </si>
  <si>
    <t>vMezzLoanNumber</t>
  </si>
  <si>
    <t>vAssetManager</t>
  </si>
  <si>
    <t>nEffIRR</t>
  </si>
  <si>
    <t>vMisc3</t>
  </si>
  <si>
    <t>vMisc4</t>
  </si>
  <si>
    <t>vMisc</t>
  </si>
  <si>
    <t>vInvestor</t>
  </si>
  <si>
    <t>iyear</t>
  </si>
  <si>
    <t>vsource</t>
  </si>
  <si>
    <t>fOwnership</t>
  </si>
  <si>
    <t>vResidual</t>
  </si>
  <si>
    <t>vNotes</t>
  </si>
  <si>
    <t>dtMisc1</t>
  </si>
  <si>
    <t>Legal Entity</t>
  </si>
  <si>
    <t>State</t>
  </si>
  <si>
    <t>Fund Code</t>
  </si>
  <si>
    <t>Start Date</t>
  </si>
  <si>
    <t>dtPayment</t>
  </si>
  <si>
    <t>vInstallment</t>
  </si>
  <si>
    <t>mAmountPaid</t>
  </si>
  <si>
    <t>vReason</t>
  </si>
  <si>
    <t>&lt;&lt; Delete row before loading</t>
  </si>
  <si>
    <t>dtDue</t>
  </si>
  <si>
    <t>Property Setup:</t>
  </si>
  <si>
    <t>Effective Date</t>
  </si>
  <si>
    <t>Owner</t>
  </si>
  <si>
    <t>Owner Code</t>
  </si>
  <si>
    <t>Investor Screen</t>
  </si>
  <si>
    <t>Source</t>
  </si>
  <si>
    <t>MRI Screen</t>
  </si>
  <si>
    <t>Required Value</t>
  </si>
  <si>
    <t>Field</t>
  </si>
  <si>
    <t>Impact if Incorrect</t>
  </si>
  <si>
    <t>Financial Transaction Summary</t>
  </si>
  <si>
    <t>Closing Date or Today</t>
  </si>
  <si>
    <t>Equity Installment</t>
  </si>
  <si>
    <t>Won’t show in Property Ad Hoc; Commitment/Payment can’t be edited</t>
  </si>
  <si>
    <t>Won’t show in Property Ad Hoc, Entity List</t>
  </si>
  <si>
    <r>
      <t>Step 2: If Client Does Not Provide Fund</t>
    </r>
    <r>
      <rPr>
        <sz val="11"/>
        <color theme="1"/>
        <rFont val="Calibri"/>
        <family val="2"/>
        <scheme val="minor"/>
      </rPr>
      <t xml:space="preserve">
• If client confirms to proceed without Fund:
         • Inform client:
</t>
    </r>
    <r>
      <rPr>
        <i/>
        <sz val="11"/>
        <color theme="1"/>
        <rFont val="Calibri"/>
        <family val="2"/>
        <scheme val="minor"/>
      </rPr>
      <t xml:space="preserve">       "Setup is completed. Please note the property will not appear in reporting until a Fund is added."
</t>
    </r>
    <r>
      <rPr>
        <sz val="11"/>
        <color theme="1"/>
        <rFont val="Calibri"/>
        <family val="2"/>
        <scheme val="minor"/>
      </rPr>
      <t xml:space="preserve">
• If client does not respond or does not confirm:
        • Follow Non-response SOP</t>
    </r>
    <r>
      <rPr>
        <b/>
        <sz val="11"/>
        <color theme="1"/>
        <rFont val="Calibri"/>
        <family val="2"/>
        <scheme val="minor"/>
      </rPr>
      <t xml:space="preserve"> then upon closure, inform client setup is completed and property will not appear in reporting until a Fund is added.</t>
    </r>
  </si>
  <si>
    <t>Property Screen- Legal Entity Tab</t>
  </si>
  <si>
    <t>Won’t show in Property Ad Hoc (Source of Quarter/Year filter in Property Ad Hoc Report)</t>
  </si>
  <si>
    <t>Won't show in Entity List Report and State Combo Report (for State Deals)</t>
  </si>
  <si>
    <t>Verified</t>
  </si>
  <si>
    <t xml:space="preserve">A. Pipeline Screen
</t>
  </si>
  <si>
    <t>• Go to Pipeline Screen and change the property status of the Property to “Closed” so it will reflect on the Property Screen.</t>
  </si>
  <si>
    <t>vMisc5</t>
  </si>
  <si>
    <t>Manual</t>
  </si>
  <si>
    <t>NULL</t>
  </si>
  <si>
    <t>Incomplete Setup; Duplicate record of Manual Investment will cause duplication in State Combo Report</t>
  </si>
  <si>
    <t>Identify the Type of Setup Requested by the NW Client</t>
  </si>
  <si>
    <t>C. Fund Validation</t>
  </si>
  <si>
    <r>
      <t xml:space="preserve">D. Fund &amp; Investment Verification Checklist
</t>
    </r>
    <r>
      <rPr>
        <i/>
        <sz val="11"/>
        <color theme="1"/>
        <rFont val="Calibri"/>
        <family val="2"/>
        <scheme val="minor"/>
      </rPr>
      <t>(Required if Fund is provided)</t>
    </r>
  </si>
  <si>
    <r>
      <t>E. Report Validation
(</t>
    </r>
    <r>
      <rPr>
        <i/>
        <sz val="11"/>
        <color theme="1"/>
        <rFont val="Calibri"/>
        <family val="2"/>
        <scheme val="minor"/>
      </rPr>
      <t>Final Step – Required if Fund is Provided</t>
    </r>
    <r>
      <rPr>
        <sz val="11"/>
        <color theme="1"/>
        <rFont val="Calibri"/>
        <family val="2"/>
        <scheme val="minor"/>
      </rPr>
      <t>)</t>
    </r>
  </si>
  <si>
    <r>
      <t>If Fund is provided and Section D (Fund &amp; Investment Verification) is completed:
• Run the following reports:
✅ Property Ad Hoc Report
Confirm property appears
✅ Entity List Report
Confirm property appears under correct Fund (</t>
    </r>
    <r>
      <rPr>
        <b/>
        <sz val="11"/>
        <color theme="1"/>
        <rFont val="Calibri"/>
        <family val="2"/>
        <scheme val="minor"/>
      </rPr>
      <t>Take a screenshot of the report and paste below for additional documentation)</t>
    </r>
  </si>
  <si>
    <r>
      <rPr>
        <b/>
        <sz val="11"/>
        <color theme="1"/>
        <rFont val="Calibri"/>
        <family val="2"/>
        <scheme val="minor"/>
      </rPr>
      <t>Step 1: Check if Fund is Provided</t>
    </r>
    <r>
      <rPr>
        <sz val="11"/>
        <color theme="1"/>
        <rFont val="Calibri"/>
        <family val="2"/>
        <scheme val="minor"/>
      </rPr>
      <t xml:space="preserve">
✅ If Fund IS Provided (in the file or case description)
• Proceed to the Verification Checklist (Section D).
❌ If Fund is NOT Provided
1. Email the client requesting the Fund.
2. Advise the client that:
         • The Property will NOT appear in the following reports:
                       • Property Ad Hoc Report
                       • Entity List Report
         • Commitment and Payment details cannot be edited.
✅ If the client provides the Fund in the email:
1. If the Fund EXISTS in the Fund screen:
        • Go back to the screens that require the Fund Code.
        • Enter the Fund Code.
        • Proceed to the Verification Checklist (Section D).
2. If the Fund does NOT EXIST in the Fund screen:
        • DO NOT add the Fund.
        • Inform the client that the Fund does not exist in the Fund screen.
        • Ask whether they would like to:
               • Set up the Fund
                             • </t>
    </r>
    <r>
      <rPr>
        <b/>
        <i/>
        <sz val="11"/>
        <color theme="1"/>
        <rFont val="Calibri"/>
        <family val="2"/>
        <scheme val="minor"/>
      </rPr>
      <t>Follow Fund Setup Instructions then go back to the screens here that require Fund Code</t>
    </r>
    <r>
      <rPr>
        <i/>
        <sz val="11"/>
        <color theme="1"/>
        <rFont val="Calibri"/>
        <family val="2"/>
        <scheme val="minor"/>
      </rPr>
      <t xml:space="preserve">
</t>
    </r>
    <r>
      <rPr>
        <sz val="11"/>
        <color theme="1"/>
        <rFont val="Calibri"/>
        <family val="2"/>
        <scheme val="minor"/>
      </rPr>
      <t xml:space="preserve">               • OR Proceed without associating a Fund Code.
                             </t>
    </r>
    <r>
      <rPr>
        <i/>
        <sz val="11"/>
        <color theme="1"/>
        <rFont val="Calibri"/>
        <family val="2"/>
        <scheme val="minor"/>
      </rPr>
      <t xml:space="preserve">• </t>
    </r>
    <r>
      <rPr>
        <b/>
        <i/>
        <sz val="11"/>
        <color theme="1"/>
        <rFont val="Calibri"/>
        <family val="2"/>
        <scheme val="minor"/>
      </rPr>
      <t>Advise the client about the reporting impact if no Fund is associated with the property.</t>
    </r>
  </si>
  <si>
    <r>
      <t xml:space="preserve">There must always be at least one Manual Investment record. If none exists, please follow the steps below:
1. Add a New Record:
      Entity Code: Property Code
      Owner Code: Fund Code
      Date: Fund Close Date or Today’s Date
     Source: MANUAL
     Ownership:
             If only one fund → set to 1 (100%)
             If multiple funds → divide ownership equally
             Example: 2 funds → 0.50 each
2. Save the record.
</t>
    </r>
    <r>
      <rPr>
        <b/>
        <i/>
        <sz val="11"/>
        <color theme="1"/>
        <rFont val="Calibri"/>
        <family val="2"/>
        <scheme val="minor"/>
      </rPr>
      <t>Check for Duplicates:
If an identical record already exists (exact match for Entity, Owner, and Source), delete the newly created duplicate entry.</t>
    </r>
  </si>
  <si>
    <t>Property Screen</t>
  </si>
  <si>
    <t>Property Status</t>
  </si>
  <si>
    <t>Won't show in Property Ad Hoc</t>
  </si>
  <si>
    <t>Certain values won’t show in Property Ad Hoc</t>
  </si>
  <si>
    <t xml:space="preserve">B. Process Tabs
</t>
  </si>
  <si>
    <t>• Follow instructions in each tab (they will auto-populate after you followed the General Instructions)
• Batch LOAD or UPDATE
• After successful load, return to this page for validation</t>
  </si>
  <si>
    <t>1. Copy All (Ctrl+A), (Ctrl+C), and Paste Values (Ctrl+Shift+V)
2. Double-check if the address is formatted correctly:
      City – Sometimes incorrectly included in the State field
      State – Must be a two-letter abbreviation
      ZIP Code – In US, a standard ZIP Code is always 5 digits. If only 4 digits are provided, add a zero in front
3. Delete Gray Columns</t>
  </si>
  <si>
    <t>1. Copy All (Ctrl+A), (Ctrl+C), and Paste Values (Ctrl+Shift+V)
2. Delete Gray Columns</t>
  </si>
  <si>
    <t>1. Copy All (Ctrl+A), (Ctrl+C), and Paste Values (Ctrl+Shift+V)
2. Delete Gray Rows</t>
  </si>
  <si>
    <t>1. Copy All (Ctrl+A), (Ctrl+C), and Paste Values (Ctrl+Shift+V)
2. In dtEffective field, if 0 or 1/0/1900, put Close Date; or Date Today if close date is not provided
3. In vMisc field, search for the Fund Code in the Fund screen (Note: clients sometimes enter the Fund Name instead of the Fund Code).
      If all lines show 0 or NA, check the following:
          &gt;Investors table,
          &gt;Commitment table,
          &gt;Payment table, and
          &gt;Case Description for the Fund;
          &gt;For Property and Fund Setup case, use the Fund Code of the fund you just setup
      If no records are found in any of these, leave the fields blank
4. Delete Gray Rows</t>
  </si>
  <si>
    <t>1. Copy All (Ctrl+A), (Ctrl+C), and Paste Values (Ctrl+Shift+V)
2. In vOwnerCode, search for the Fund Code in the Fund screen (Note: clients sometimes enter the Fund Name instead of the Fund Code).
      If all lines show 0 or NA, check the following:
          &gt;Investors table,
          &gt;TXFinancial_IC table,
          &gt;Commitment table, and
          &gt;Case Description for the Fund;
      If no records are found in any of these, leave the fields blank
3. Delete gray rows (rows with no amount or rows with past dtPayment)
4. Fill vInstallment with 1,2,3, and so on</t>
  </si>
  <si>
    <t>1. Copy All (Ctrl+A), (Ctrl+C), and Paste Values (Ctrl+Shift+V)
2. In vOwnerCode, search for the Fund Code in the Fund screen (Note: clients sometimes enter the Fund Name instead of the Fund Code).
      If all lines show 0 or NA, check the following:
         &gt;Investors table,
         &gt;TXFinancial_IC table,
         &gt;Payment table, and
         &gt;Case Description for the Fund;
      If no records are found in any of these, leave the fields blank
3. In dtCommitment field, if 0 or 1/0/1900, put Close Date; or Date Today if close date is not provided
4. Delete gray rows (rows with no amount or rows with past dtDue) 
5. Fill vInstallNmbr with 1,2,3, and so on</t>
  </si>
  <si>
    <t>1. Copy All (Ctrl+A), (Ctrl+C), and Paste Values (Ctrl+Shift+V)
2. No need to Load if iInt is 0 or #N/A</t>
  </si>
  <si>
    <t>1. Copy All (Ctrl+A), (Ctrl+C), and Paste Values (Ctrl+Shift+V)
2. In vVendor field, search for the Lender in the Vendor screen and use the Vendor Code instead of the Vendor Name. If the vendor does not exist, create it with the Vendor Type set to “Lender.” 
3. If the iAmortTerm field contains “N/A,” leave it blank in the template (do not enter “N/A”)
4. Delete gray rows (rows with no amount)</t>
  </si>
  <si>
    <t>1. Copy All (Ctrl+A), (Ctrl+C), and Paste Values (Ctrl+Shift+V)
2. In vInvestor field, search for the Fund Code in the Fund screen (Note: clients sometimes enter the Fund Name instead of the Fund Code).
      If all lines show 0 or NA, check the following:
          &gt;TXFinancial_IC table,
          &gt;Commitment table,
          &gt;Payment table, and
          &gt;Case Description for the Fund;
      If no records are found in any of these, DO NOT LOAD this table
3. For iYear and dtMisc1 fields, if 0 or 1/0/1900, put Close Date; or Date Today if close date is not provided
4. Delete gray rows (rows with no vInvestor)
5. Delete Column C
6. Check Investors screen if duplicate records exist (same vInvestor, vSource, fOwnership), delete the duplicate row here before loading.
Note: F3:F9 will populate if this is a Federal Deal; F10:F16 will populate if this is a State Deal</t>
  </si>
  <si>
    <r>
      <t xml:space="preserve">There must always be at least one Legal Entity Investment record. If none:
If Legal Entity not provided:
              • Request from client
              • Advise reporting impact
1. Add New Record:
          Entity Code = Property Code
          Owner Code = Legal Entity
          Date = Fund Close Date or Today
          Source = LEGAL ENTITY
          Ownership: 1 (if one legal entity)
          If multiple→ divide equally
          Example: 2 legal entity → 0.50 each
2. Save
</t>
    </r>
    <r>
      <rPr>
        <b/>
        <i/>
        <sz val="11"/>
        <color theme="1"/>
        <rFont val="Calibri"/>
        <family val="2"/>
        <scheme val="minor"/>
      </rPr>
      <t>Check for Duplicates:
If an identical record already exists (exact match for Entity, Owner, and Source), delete the newly created duplicate entry.</t>
    </r>
  </si>
  <si>
    <r>
      <t xml:space="preserve">In Federal deals, Property Status is included in the Load File (TXProp.vStatus)
In State deals, Property Status is setup by client.
</t>
    </r>
    <r>
      <rPr>
        <b/>
        <sz val="11"/>
        <color theme="1"/>
        <rFont val="Calibri"/>
        <family val="2"/>
        <scheme val="minor"/>
      </rPr>
      <t>If not available, advise the client of the reporting impact</t>
    </r>
  </si>
  <si>
    <t xml:space="preserve">Go to the Owner Screen and search for the Fund code given by the client. Note for its Tax Credit Type, put Credit Type and State Credit Type based on the Tax Credit Type you noted.  </t>
  </si>
  <si>
    <t>Credit Type and State Credit Type</t>
  </si>
  <si>
    <t>Event Dates Screen</t>
  </si>
  <si>
    <t>Fund Manager</t>
  </si>
  <si>
    <t>Missing Fund Mgr on Event Date records</t>
  </si>
  <si>
    <t>There should be records with:
Event Type: Pipeline / Pipeline Status
Fund Manager: State
When a Fund is linked to the Property via Investors screen (Source = Manual), the system generates another set of Pipeline Event Type records using the Fund’s Fund Manager.
If Fund Manager is blank, 
Check the Fund screen → Third Party Relationships → Fund Manager.
Ensure the Fund Manager Start Date is on or before the Pipeline Closed date (Event Date screen: Event Type = Pipeline, Event = Closed, Date Type = Actual).</t>
  </si>
  <si>
    <t>1. Copy All (Ctrl+A), (Ctrl+C), and Paste Values (Ctrl+Shift+V)
2. In vParty field, search for the vendor in the Vendor screen and use the Vendor Code instead of the Vendor Name. If the vendor does not exist, create it using the Vendor Type indicated in the “vType” column of the file
3. Delete gray rows (rows with no vParty)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</si>
</sst>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5" formatCode="&quot;$&quot;#,##0_);\(&quot;$&quot;#,##0\)"/>
    <numFmt numFmtId="44" formatCode="_(&quot;$&quot;* #,##0.00_);_(&quot;$&quot;* \(#,##0.00\);_(&quot;$&quot;* &quot;-&quot;??_);_(@_)"/>
    <numFmt numFmtId="164" formatCode="_(&quot;$&quot;* #,##0_);_(&quot;$&quot;* \(#,##0\);_(&quot;$&quot;* &quot;-&quot;??_);_(@_)"/>
  </numFmts>
  <fonts count="16"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1"/>
      <name val="Calibri"/>
      <family val="2"/>
      <scheme val="minor"/>
    </font>
    <font>
      <sz val="11"/>
      <name val="Arial Narrow"/>
      <family val="2"/>
    </font>
    <font>
      <b/>
      <sz val="11"/>
      <name val="Arial Narrow"/>
      <family val="2"/>
    </font>
    <font>
      <i/>
      <sz val="10"/>
      <name val="Arial Narrow"/>
      <family val="2"/>
    </font>
    <font>
      <b/>
      <sz val="10"/>
      <name val="Arial Narrow"/>
      <family val="2"/>
    </font>
    <font>
      <sz val="8"/>
      <name val="Calibri"/>
      <family val="2"/>
      <scheme val="minor"/>
    </font>
    <font>
      <b/>
      <sz val="10"/>
      <color theme="1"/>
      <name val="Arial"/>
      <family val="2"/>
    </font>
    <font>
      <sz val="10"/>
      <color theme="1"/>
      <name val="Arial"/>
      <family val="2"/>
    </font>
    <font>
      <i/>
      <sz val="11"/>
      <color theme="1"/>
      <name val="Calibri"/>
      <family val="2"/>
      <scheme val="minor"/>
    </font>
    <font>
      <b/>
      <i/>
      <sz val="11"/>
      <color theme="1"/>
      <name val="Calibri"/>
      <family val="2"/>
      <scheme val="minor"/>
    </font>
    <font>
      <b/>
      <sz val="10"/>
      <name val="Arial"/>
      <family val="2"/>
    </font>
    <font>
      <i/>
      <sz val="10"/>
      <name val="Arial"/>
      <family val="2"/>
    </font>
  </fonts>
  <fills count="10">
    <fill>
      <patternFill patternType="none"/>
    </fill>
    <fill>
      <patternFill patternType="gray125"/>
    </fill>
    <fill>
      <patternFill patternType="solid">
        <fgColor theme="8"/>
        <bgColor indexed="64"/>
      </patternFill>
    </fill>
    <fill>
      <patternFill patternType="solid">
        <fgColor theme="9"/>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6"/>
        <bgColor indexed="64"/>
      </patternFill>
    </fill>
    <fill>
      <patternFill patternType="solid">
        <fgColor theme="9" tint="0.39997558519241921"/>
        <bgColor indexed="64"/>
      </patternFill>
    </fill>
    <fill>
      <patternFill patternType="solid">
        <fgColor rgb="FFFFFF00"/>
        <bgColor indexed="64"/>
      </patternFill>
    </fill>
    <fill>
      <patternFill patternType="solid">
        <fgColor theme="4" tint="0.39997558519241921"/>
        <bgColor indexed="64"/>
      </patternFill>
    </fill>
  </fills>
  <borders count="17">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bottom style="thin">
        <color indexed="64"/>
      </bottom>
      <diagonal/>
    </border>
  </borders>
  <cellStyleXfs count="12">
    <xf numFmtId="0" fontId="0" fillId="0" borderId="0"/>
    <xf numFmtId="0" fontId="3" fillId="0" borderId="0"/>
    <xf numFmtId="9" fontId="3" fillId="0" borderId="0" applyFont="0" applyFill="0" applyBorder="0" applyAlignment="0" applyProtection="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cellStyleXfs>
  <cellXfs count="87">
    <xf numFmtId="0" fontId="0" fillId="0" borderId="0" xfId="0"/>
    <xf numFmtId="0" fontId="2" fillId="0" borderId="0" xfId="0" applyFont="1"/>
    <xf numFmtId="14" fontId="0" fillId="0" borderId="0" xfId="0" applyNumberFormat="1"/>
    <xf numFmtId="0" fontId="1" fillId="0" borderId="0" xfId="0" applyFont="1"/>
    <xf numFmtId="0" fontId="0" fillId="0" borderId="0" xfId="0" applyAlignment="1">
      <alignment vertical="center"/>
    </xf>
    <xf numFmtId="0" fontId="0" fillId="0" borderId="5" xfId="0" applyBorder="1"/>
    <xf numFmtId="0" fontId="0" fillId="0" borderId="2" xfId="0" applyBorder="1" applyAlignment="1">
      <alignment vertical="center"/>
    </xf>
    <xf numFmtId="0" fontId="0" fillId="4" borderId="2" xfId="0" applyFill="1" applyBorder="1" applyAlignment="1">
      <alignment horizontal="left" vertical="center"/>
    </xf>
    <xf numFmtId="0" fontId="0" fillId="0" borderId="2" xfId="0" applyBorder="1" applyAlignment="1">
      <alignment horizontal="left" vertical="top" wrapText="1"/>
    </xf>
    <xf numFmtId="0" fontId="0" fillId="5" borderId="2" xfId="0" applyFill="1" applyBorder="1" applyAlignment="1">
      <alignment horizontal="left" vertical="top" wrapText="1"/>
    </xf>
    <xf numFmtId="0" fontId="0" fillId="0" borderId="2" xfId="0" applyBorder="1" applyAlignment="1">
      <alignment vertical="center" wrapText="1"/>
    </xf>
    <xf numFmtId="0" fontId="2" fillId="2" borderId="2" xfId="0" applyFont="1" applyFill="1" applyBorder="1" applyAlignment="1">
      <alignment horizontal="center" vertical="center" wrapText="1"/>
    </xf>
    <xf numFmtId="0" fontId="0" fillId="4" borderId="2" xfId="0" applyFill="1" applyBorder="1" applyAlignment="1">
      <alignment vertical="center" wrapText="1"/>
    </xf>
    <xf numFmtId="0" fontId="0" fillId="4" borderId="2" xfId="0" applyFill="1" applyBorder="1" applyAlignment="1">
      <alignment horizontal="left" vertical="center" wrapText="1"/>
    </xf>
    <xf numFmtId="0" fontId="0" fillId="0" borderId="2" xfId="0" applyBorder="1" applyAlignment="1">
      <alignment horizontal="left" vertical="center" wrapText="1"/>
    </xf>
    <xf numFmtId="0" fontId="2" fillId="2" borderId="2" xfId="0" applyFont="1" applyFill="1" applyBorder="1" applyAlignment="1">
      <alignment horizontal="center" vertical="center"/>
    </xf>
    <xf numFmtId="0" fontId="0" fillId="0" borderId="2" xfId="0" applyBorder="1" applyAlignment="1">
      <alignment vertical="center"/>
      <extLst>
        <ext xmlns:xfpb="http://schemas.microsoft.com/office/spreadsheetml/2022/featurepropertybag" uri="{C7286773-470A-42A8-94C5-96B5CB345126}">
          <xfpb:xfComplement i="0"/>
        </ext>
      </extLst>
    </xf>
    <xf numFmtId="0" fontId="0" fillId="4" borderId="2" xfId="0" applyFill="1" applyBorder="1" applyAlignment="1">
      <alignment vertical="center"/>
      <extLst>
        <ext xmlns:xfpb="http://schemas.microsoft.com/office/spreadsheetml/2022/featurepropertybag" uri="{C7286773-470A-42A8-94C5-96B5CB345126}">
          <xfpb:xfComplement i="0"/>
        </ext>
      </extLst>
    </xf>
    <xf numFmtId="0" fontId="0" fillId="0" borderId="9" xfId="0" applyBorder="1"/>
    <xf numFmtId="0" fontId="0" fillId="0" borderId="14" xfId="0" applyBorder="1"/>
    <xf numFmtId="0" fontId="2" fillId="6" borderId="2" xfId="0" applyFont="1" applyFill="1" applyBorder="1"/>
    <xf numFmtId="0" fontId="0" fillId="0" borderId="7" xfId="0" applyBorder="1"/>
    <xf numFmtId="14" fontId="0" fillId="0" borderId="13" xfId="0" applyNumberFormat="1" applyBorder="1"/>
    <xf numFmtId="0" fontId="0" fillId="0" borderId="0" xfId="0" applyAlignment="1">
      <alignment horizontal="left" vertical="center" indent="1"/>
    </xf>
    <xf numFmtId="0" fontId="2" fillId="0" borderId="0" xfId="0" applyFont="1" applyAlignment="1">
      <alignment horizontal="left" vertical="center" indent="1"/>
    </xf>
    <xf numFmtId="0" fontId="2" fillId="7" borderId="15" xfId="0" applyFont="1" applyFill="1" applyBorder="1" applyAlignment="1">
      <alignment vertical="center"/>
    </xf>
    <xf numFmtId="164" fontId="11" fillId="0" borderId="0" xfId="11" applyNumberFormat="1" applyFont="1" applyFill="1" applyBorder="1"/>
    <xf numFmtId="0" fontId="0" fillId="5" borderId="2" xfId="0" applyFill="1" applyBorder="1" applyAlignment="1">
      <alignment vertical="top" wrapText="1"/>
    </xf>
    <xf numFmtId="0" fontId="2" fillId="0" borderId="2" xfId="0" applyFont="1" applyBorder="1" applyAlignment="1">
      <alignment horizontal="left" vertical="top" wrapText="1"/>
    </xf>
    <xf numFmtId="0" fontId="0" fillId="0" borderId="2" xfId="0" applyBorder="1" applyAlignment="1">
      <alignment horizontal="left" vertical="center"/>
    </xf>
    <xf numFmtId="0" fontId="0" fillId="4" borderId="2" xfId="0" applyFill="1" applyBorder="1" applyAlignment="1">
      <alignment vertical="center"/>
    </xf>
    <xf numFmtId="0" fontId="0" fillId="0" borderId="6" xfId="0" applyBorder="1"/>
    <xf numFmtId="0" fontId="0" fillId="0" borderId="13" xfId="0" applyBorder="1"/>
    <xf numFmtId="14" fontId="0" fillId="0" borderId="9" xfId="0" applyNumberFormat="1" applyBorder="1"/>
    <xf numFmtId="0" fontId="10" fillId="0" borderId="0" xfId="7" applyFont="1" applyAlignment="1">
      <alignment horizontal="center"/>
    </xf>
    <xf numFmtId="0" fontId="11" fillId="0" borderId="0" xfId="7" applyFont="1"/>
    <xf numFmtId="0" fontId="1" fillId="0" borderId="0" xfId="7"/>
    <xf numFmtId="0" fontId="14" fillId="0" borderId="0" xfId="6" applyFont="1" applyAlignment="1">
      <alignment horizontal="center" wrapText="1"/>
    </xf>
    <xf numFmtId="14" fontId="11" fillId="0" borderId="0" xfId="7" applyNumberFormat="1" applyFont="1"/>
    <xf numFmtId="0" fontId="6" fillId="0" borderId="0" xfId="8" applyFont="1" applyAlignment="1">
      <alignment horizontal="center"/>
    </xf>
    <xf numFmtId="0" fontId="10" fillId="0" borderId="0" xfId="7" applyFont="1"/>
    <xf numFmtId="0" fontId="14" fillId="0" borderId="0" xfId="6" applyFont="1" applyAlignment="1">
      <alignment horizontal="left" wrapText="1"/>
    </xf>
    <xf numFmtId="0" fontId="15" fillId="0" borderId="0" xfId="6" applyFont="1"/>
    <xf numFmtId="0" fontId="3" fillId="0" borderId="0" xfId="6"/>
    <xf numFmtId="0" fontId="11" fillId="0" borderId="0" xfId="7" applyFont="1" applyAlignment="1">
      <alignment horizontal="right"/>
    </xf>
    <xf numFmtId="0" fontId="6" fillId="0" borderId="0" xfId="7" applyFont="1"/>
    <xf numFmtId="0" fontId="5" fillId="0" borderId="0" xfId="7" applyFont="1"/>
    <xf numFmtId="0" fontId="10" fillId="0" borderId="0" xfId="7" applyFont="1" applyAlignment="1">
      <alignment wrapText="1"/>
    </xf>
    <xf numFmtId="5" fontId="11" fillId="0" borderId="0" xfId="7" applyNumberFormat="1" applyFont="1"/>
    <xf numFmtId="0" fontId="7" fillId="0" borderId="0" xfId="6" applyFont="1"/>
    <xf numFmtId="14" fontId="5" fillId="0" borderId="0" xfId="7" applyNumberFormat="1" applyFont="1"/>
    <xf numFmtId="5" fontId="5" fillId="0" borderId="0" xfId="7" applyNumberFormat="1" applyFont="1"/>
    <xf numFmtId="0" fontId="0" fillId="4" borderId="2" xfId="0" applyFill="1" applyBorder="1" applyAlignment="1">
      <alignment horizontal="left" vertical="top" wrapText="1"/>
    </xf>
    <xf numFmtId="0" fontId="0" fillId="4" borderId="8" xfId="0" applyFill="1" applyBorder="1" applyAlignment="1">
      <alignment horizontal="left" vertical="top" wrapText="1"/>
    </xf>
    <xf numFmtId="0" fontId="0" fillId="8" borderId="2" xfId="0" applyFill="1" applyBorder="1" applyAlignment="1">
      <alignment vertical="center" wrapText="1"/>
    </xf>
    <xf numFmtId="0" fontId="0" fillId="8" borderId="6" xfId="0" applyFill="1" applyBorder="1" applyAlignment="1">
      <alignment vertical="center" wrapText="1"/>
    </xf>
    <xf numFmtId="0" fontId="0" fillId="8" borderId="4" xfId="0" applyFill="1" applyBorder="1" applyAlignment="1">
      <alignment vertical="center" wrapText="1"/>
    </xf>
    <xf numFmtId="0" fontId="0" fillId="8" borderId="2" xfId="0" applyFill="1" applyBorder="1" applyAlignment="1">
      <alignment horizontal="center" vertical="center" wrapText="1"/>
    </xf>
    <xf numFmtId="0" fontId="0" fillId="8" borderId="2" xfId="0" applyFill="1" applyBorder="1" applyAlignment="1">
      <alignment horizontal="left" vertical="center" wrapText="1"/>
    </xf>
    <xf numFmtId="0" fontId="0" fillId="9" borderId="2" xfId="0" applyFill="1" applyBorder="1"/>
    <xf numFmtId="14" fontId="0" fillId="9" borderId="2" xfId="0" applyNumberFormat="1" applyFill="1" applyBorder="1"/>
    <xf numFmtId="0" fontId="0" fillId="9" borderId="8" xfId="0" applyFill="1" applyBorder="1"/>
    <xf numFmtId="0" fontId="2" fillId="9" borderId="2" xfId="0" applyFont="1" applyFill="1" applyBorder="1"/>
    <xf numFmtId="14" fontId="2" fillId="9" borderId="6" xfId="0" applyNumberFormat="1" applyFont="1" applyFill="1" applyBorder="1"/>
    <xf numFmtId="14" fontId="2" fillId="9" borderId="3" xfId="0" applyNumberFormat="1" applyFont="1" applyFill="1" applyBorder="1"/>
    <xf numFmtId="0" fontId="4" fillId="9" borderId="2" xfId="3" applyFont="1" applyFill="1" applyBorder="1"/>
    <xf numFmtId="14" fontId="4" fillId="9" borderId="2" xfId="3" applyNumberFormat="1" applyFont="1" applyFill="1" applyBorder="1"/>
    <xf numFmtId="0" fontId="2" fillId="9" borderId="8" xfId="0" applyFont="1" applyFill="1" applyBorder="1"/>
    <xf numFmtId="14" fontId="2" fillId="9" borderId="2" xfId="0" applyNumberFormat="1" applyFont="1" applyFill="1" applyBorder="1"/>
    <xf numFmtId="14" fontId="2" fillId="9" borderId="8" xfId="0" applyNumberFormat="1" applyFont="1" applyFill="1" applyBorder="1"/>
    <xf numFmtId="14" fontId="2" fillId="9" borderId="16" xfId="0" applyNumberFormat="1" applyFont="1" applyFill="1" applyBorder="1"/>
    <xf numFmtId="0" fontId="2" fillId="9" borderId="3" xfId="0" applyFont="1" applyFill="1" applyBorder="1"/>
    <xf numFmtId="0" fontId="0" fillId="6" borderId="7" xfId="0" applyFill="1" applyBorder="1"/>
    <xf numFmtId="0" fontId="0" fillId="0" borderId="3" xfId="0" applyBorder="1" applyAlignment="1">
      <alignment horizontal="left" vertical="center" wrapText="1"/>
    </xf>
    <xf numFmtId="0" fontId="0" fillId="0" borderId="1" xfId="0" applyBorder="1" applyAlignment="1">
      <alignment horizontal="left" vertical="center" wrapText="1"/>
    </xf>
    <xf numFmtId="0" fontId="0" fillId="0" borderId="4" xfId="0" applyBorder="1" applyAlignment="1">
      <alignment horizontal="left" vertical="center" wrapText="1"/>
    </xf>
    <xf numFmtId="0" fontId="0" fillId="0" borderId="2" xfId="0" applyBorder="1" applyAlignment="1">
      <alignment horizontal="left" vertical="top" wrapText="1"/>
    </xf>
    <xf numFmtId="0" fontId="2" fillId="3" borderId="10" xfId="0" applyFont="1" applyFill="1" applyBorder="1" applyAlignment="1">
      <alignment horizontal="center"/>
    </xf>
    <xf numFmtId="0" fontId="2" fillId="3" borderId="11" xfId="0" applyFont="1" applyFill="1" applyBorder="1" applyAlignment="1">
      <alignment horizontal="center"/>
    </xf>
    <xf numFmtId="0" fontId="0" fillId="5" borderId="6" xfId="0" applyFill="1" applyBorder="1" applyAlignment="1">
      <alignment horizontal="left" vertical="top" wrapText="1"/>
    </xf>
    <xf numFmtId="0" fontId="0" fillId="5" borderId="7" xfId="0" applyFill="1" applyBorder="1" applyAlignment="1">
      <alignment horizontal="left" vertical="top" wrapText="1"/>
    </xf>
    <xf numFmtId="0" fontId="0" fillId="5" borderId="8" xfId="0" applyFill="1" applyBorder="1" applyAlignment="1">
      <alignment horizontal="left" vertical="top" wrapText="1"/>
    </xf>
    <xf numFmtId="0" fontId="10" fillId="0" borderId="0" xfId="7" applyFont="1" applyAlignment="1">
      <alignment horizontal="center"/>
    </xf>
    <xf numFmtId="0" fontId="8" fillId="0" borderId="0" xfId="6" applyFont="1" applyAlignment="1">
      <alignment horizontal="center"/>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14" xfId="0" applyBorder="1" applyAlignment="1">
      <alignment horizontal="left" vertical="center" wrapText="1"/>
    </xf>
  </cellXfs>
  <cellStyles count="12">
    <cellStyle name="Currency" xfId="11" builtinId="4"/>
    <cellStyle name="Normal" xfId="0" builtinId="0"/>
    <cellStyle name="Normal 2" xfId="1" xr:uid="{AA57EECE-594D-4BBF-BAFB-B3A55F9ECFB0}"/>
    <cellStyle name="Normal 3 2" xfId="3" xr:uid="{68F2ED12-1BA8-42F8-B810-E1EEAC69CA35}"/>
    <cellStyle name="Normal 3 2 2" xfId="4" xr:uid="{9BD0E3BF-612B-409A-B531-A5D8D62EE60E}"/>
    <cellStyle name="Normal 3 2 3" xfId="7" xr:uid="{20826047-3465-4F49-945B-BBB210F12FC0}"/>
    <cellStyle name="Normal 3 2 3 14" xfId="9" xr:uid="{C286A80C-31FA-4F46-A8EB-061453C2BEF3}"/>
    <cellStyle name="Normal 3 2 4" xfId="8" xr:uid="{714DFBA7-DF18-42C9-BFBC-3BE226743A48}"/>
    <cellStyle name="Normal 3 2 4 11" xfId="10" xr:uid="{BCB38910-1B4A-4230-A361-58E1BC209CDD}"/>
    <cellStyle name="Normal 8" xfId="5" xr:uid="{59854B8B-674F-464C-B696-A7E32095742A}"/>
    <cellStyle name="Normal_Lost Tree South and West New Fund Information2" xfId="6" xr:uid="{E3180200-5F83-4105-986B-874114584789}"/>
    <cellStyle name="Percent 2" xfId="2" xr:uid="{EE171726-89F8-45C7-928F-6D9171338090}"/>
  </cellStyles>
  <dxfs count="17">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06/relationships/rdRichValue" Target="richData/rdrichvalue.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22/11/relationships/FeaturePropertyBag" Target="featurePropertyBag/featurePropertyBag.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573649</xdr:colOff>
      <xdr:row>13</xdr:row>
      <xdr:rowOff>101881</xdr:rowOff>
    </xdr:from>
    <xdr:to>
      <xdr:col>10</xdr:col>
      <xdr:colOff>323011</xdr:colOff>
      <xdr:row>23</xdr:row>
      <xdr:rowOff>128870</xdr:rowOff>
    </xdr:to>
    <xdr:cxnSp macro="">
      <xdr:nvCxnSpPr>
        <xdr:cNvPr id="2" name="Connector: Elbow 1">
          <a:extLst>
            <a:ext uri="{FF2B5EF4-FFF2-40B4-BE49-F238E27FC236}">
              <a16:creationId xmlns:a16="http://schemas.microsoft.com/office/drawing/2014/main" id="{1ABD2BD9-CFD2-4037-AC10-368F087AADCC}"/>
            </a:ext>
          </a:extLst>
        </xdr:cNvPr>
        <xdr:cNvCxnSpPr/>
      </xdr:nvCxnSpPr>
      <xdr:spPr>
        <a:xfrm rot="16200000" flipH="1">
          <a:off x="12436335" y="2647345"/>
          <a:ext cx="1868489" cy="1578162"/>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7677150</xdr:colOff>
      <xdr:row>13</xdr:row>
      <xdr:rowOff>63503</xdr:rowOff>
    </xdr:from>
    <xdr:to>
      <xdr:col>1</xdr:col>
      <xdr:colOff>263527</xdr:colOff>
      <xdr:row>19</xdr:row>
      <xdr:rowOff>25403</xdr:rowOff>
    </xdr:to>
    <xdr:cxnSp macro="">
      <xdr:nvCxnSpPr>
        <xdr:cNvPr id="3" name="Connector: Elbow 2">
          <a:extLst>
            <a:ext uri="{FF2B5EF4-FFF2-40B4-BE49-F238E27FC236}">
              <a16:creationId xmlns:a16="http://schemas.microsoft.com/office/drawing/2014/main" id="{9C77E10B-6FFA-4543-9DB3-786E9682B239}"/>
            </a:ext>
          </a:extLst>
        </xdr:cNvPr>
        <xdr:cNvCxnSpPr/>
      </xdr:nvCxnSpPr>
      <xdr:spPr>
        <a:xfrm rot="5400000">
          <a:off x="7612064" y="2528889"/>
          <a:ext cx="1066800" cy="936627"/>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8343900</xdr:colOff>
      <xdr:row>1</xdr:row>
      <xdr:rowOff>104776</xdr:rowOff>
    </xdr:from>
    <xdr:to>
      <xdr:col>5</xdr:col>
      <xdr:colOff>361950</xdr:colOff>
      <xdr:row>6</xdr:row>
      <xdr:rowOff>101601</xdr:rowOff>
    </xdr:to>
    <xdr:sp macro="" textlink="">
      <xdr:nvSpPr>
        <xdr:cNvPr id="6" name="TextBox 5">
          <a:extLst>
            <a:ext uri="{FF2B5EF4-FFF2-40B4-BE49-F238E27FC236}">
              <a16:creationId xmlns:a16="http://schemas.microsoft.com/office/drawing/2014/main" id="{9A0C5BB3-870E-4CFD-8DBF-C400992D21CB}"/>
            </a:ext>
          </a:extLst>
        </xdr:cNvPr>
        <xdr:cNvSpPr txBox="1"/>
      </xdr:nvSpPr>
      <xdr:spPr>
        <a:xfrm>
          <a:off x="8343900" y="295276"/>
          <a:ext cx="2806700" cy="917575"/>
        </a:xfrm>
        <a:prstGeom prst="flowChartDecision">
          <a:avLst/>
        </a:prstGeom>
        <a:solidFill>
          <a:schemeClr val="accent6">
            <a:lumMod val="60000"/>
            <a:lumOff val="4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sz="1100"/>
            <a:t>Does the file</a:t>
          </a:r>
          <a:r>
            <a:rPr lang="en-US" sz="1100" baseline="0"/>
            <a:t> include this Property Tab?</a:t>
          </a:r>
          <a:endParaRPr lang="en-US" sz="1100"/>
        </a:p>
      </xdr:txBody>
    </xdr:sp>
    <xdr:clientData/>
  </xdr:twoCellAnchor>
  <xdr:twoCellAnchor>
    <xdr:from>
      <xdr:col>3</xdr:col>
      <xdr:colOff>172692</xdr:colOff>
      <xdr:row>6</xdr:row>
      <xdr:rowOff>105465</xdr:rowOff>
    </xdr:from>
    <xdr:to>
      <xdr:col>3</xdr:col>
      <xdr:colOff>175523</xdr:colOff>
      <xdr:row>7</xdr:row>
      <xdr:rowOff>143980</xdr:rowOff>
    </xdr:to>
    <xdr:cxnSp macro="">
      <xdr:nvCxnSpPr>
        <xdr:cNvPr id="7" name="Straight Arrow Connector 6">
          <a:extLst>
            <a:ext uri="{FF2B5EF4-FFF2-40B4-BE49-F238E27FC236}">
              <a16:creationId xmlns:a16="http://schemas.microsoft.com/office/drawing/2014/main" id="{5D53B522-4426-427B-9C16-D3C35D3D01D3}"/>
            </a:ext>
          </a:extLst>
        </xdr:cNvPr>
        <xdr:cNvCxnSpPr>
          <a:cxnSpLocks/>
          <a:endCxn id="33" idx="0"/>
        </xdr:cNvCxnSpPr>
      </xdr:nvCxnSpPr>
      <xdr:spPr>
        <a:xfrm>
          <a:off x="9755670" y="1207052"/>
          <a:ext cx="2831" cy="22073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7950200</xdr:colOff>
      <xdr:row>15</xdr:row>
      <xdr:rowOff>142875</xdr:rowOff>
    </xdr:from>
    <xdr:to>
      <xdr:col>1</xdr:col>
      <xdr:colOff>28575</xdr:colOff>
      <xdr:row>17</xdr:row>
      <xdr:rowOff>19050</xdr:rowOff>
    </xdr:to>
    <xdr:sp macro="" textlink="">
      <xdr:nvSpPr>
        <xdr:cNvPr id="8" name="TextBox 7">
          <a:extLst>
            <a:ext uri="{FF2B5EF4-FFF2-40B4-BE49-F238E27FC236}">
              <a16:creationId xmlns:a16="http://schemas.microsoft.com/office/drawing/2014/main" id="{F2442C60-FEF1-4D72-B532-C1E8926B4A1E}"/>
            </a:ext>
          </a:extLst>
        </xdr:cNvPr>
        <xdr:cNvSpPr txBox="1"/>
      </xdr:nvSpPr>
      <xdr:spPr>
        <a:xfrm>
          <a:off x="7950200" y="2911475"/>
          <a:ext cx="428625" cy="2444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YES</a:t>
          </a:r>
        </a:p>
        <a:p>
          <a:endParaRPr lang="en-US" sz="1100"/>
        </a:p>
      </xdr:txBody>
    </xdr:sp>
    <xdr:clientData/>
  </xdr:twoCellAnchor>
  <xdr:twoCellAnchor>
    <xdr:from>
      <xdr:col>8</xdr:col>
      <xdr:colOff>511548</xdr:colOff>
      <xdr:row>17</xdr:row>
      <xdr:rowOff>167901</xdr:rowOff>
    </xdr:from>
    <xdr:to>
      <xdr:col>9</xdr:col>
      <xdr:colOff>355973</xdr:colOff>
      <xdr:row>19</xdr:row>
      <xdr:rowOff>20730</xdr:rowOff>
    </xdr:to>
    <xdr:sp macro="" textlink="">
      <xdr:nvSpPr>
        <xdr:cNvPr id="9" name="TextBox 8">
          <a:extLst>
            <a:ext uri="{FF2B5EF4-FFF2-40B4-BE49-F238E27FC236}">
              <a16:creationId xmlns:a16="http://schemas.microsoft.com/office/drawing/2014/main" id="{BBEF9F45-ED61-4C8B-9D48-C1157C1B1ED4}"/>
            </a:ext>
          </a:extLst>
        </xdr:cNvPr>
        <xdr:cNvSpPr txBox="1"/>
      </xdr:nvSpPr>
      <xdr:spPr>
        <a:xfrm>
          <a:off x="13128998" y="3304801"/>
          <a:ext cx="454025" cy="2211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NO</a:t>
          </a:r>
        </a:p>
        <a:p>
          <a:endParaRPr lang="en-US" sz="1100"/>
        </a:p>
      </xdr:txBody>
    </xdr:sp>
    <xdr:clientData/>
  </xdr:twoCellAnchor>
  <xdr:twoCellAnchor>
    <xdr:from>
      <xdr:col>0</xdr:col>
      <xdr:colOff>6867525</xdr:colOff>
      <xdr:row>19</xdr:row>
      <xdr:rowOff>15875</xdr:rowOff>
    </xdr:from>
    <xdr:to>
      <xdr:col>1</xdr:col>
      <xdr:colOff>114300</xdr:colOff>
      <xdr:row>23</xdr:row>
      <xdr:rowOff>92075</xdr:rowOff>
    </xdr:to>
    <xdr:sp macro="" textlink="">
      <xdr:nvSpPr>
        <xdr:cNvPr id="10" name="TextBox 9">
          <a:extLst>
            <a:ext uri="{FF2B5EF4-FFF2-40B4-BE49-F238E27FC236}">
              <a16:creationId xmlns:a16="http://schemas.microsoft.com/office/drawing/2014/main" id="{99F2A946-CE12-49D4-A4F0-93C9DD7D15B7}"/>
            </a:ext>
          </a:extLst>
        </xdr:cNvPr>
        <xdr:cNvSpPr txBox="1"/>
      </xdr:nvSpPr>
      <xdr:spPr>
        <a:xfrm>
          <a:off x="6867525" y="3521075"/>
          <a:ext cx="1597025" cy="812800"/>
        </a:xfrm>
        <a:prstGeom prst="rect">
          <a:avLst/>
        </a:prstGeom>
        <a:solidFill>
          <a:schemeClr val="accent6">
            <a:lumMod val="60000"/>
            <a:lumOff val="4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US" i="1"/>
            <a:t>This is a Property Setup. Please copy the tab from the file and paste it into the "Property" tab here.</a:t>
          </a:r>
        </a:p>
      </xdr:txBody>
    </xdr:sp>
    <xdr:clientData/>
  </xdr:twoCellAnchor>
  <xdr:twoCellAnchor>
    <xdr:from>
      <xdr:col>0</xdr:col>
      <xdr:colOff>7204074</xdr:colOff>
      <xdr:row>23</xdr:row>
      <xdr:rowOff>92075</xdr:rowOff>
    </xdr:from>
    <xdr:to>
      <xdr:col>0</xdr:col>
      <xdr:colOff>7666038</xdr:colOff>
      <xdr:row>26</xdr:row>
      <xdr:rowOff>44450</xdr:rowOff>
    </xdr:to>
    <xdr:cxnSp macro="">
      <xdr:nvCxnSpPr>
        <xdr:cNvPr id="11" name="Straight Arrow Connector 10">
          <a:extLst>
            <a:ext uri="{FF2B5EF4-FFF2-40B4-BE49-F238E27FC236}">
              <a16:creationId xmlns:a16="http://schemas.microsoft.com/office/drawing/2014/main" id="{0AB71337-EC22-4E5C-8F57-9BA30AC4F759}"/>
            </a:ext>
          </a:extLst>
        </xdr:cNvPr>
        <xdr:cNvCxnSpPr>
          <a:stCxn id="10" idx="2"/>
          <a:endCxn id="12" idx="0"/>
        </xdr:cNvCxnSpPr>
      </xdr:nvCxnSpPr>
      <xdr:spPr>
        <a:xfrm flipH="1">
          <a:off x="7204074" y="4333875"/>
          <a:ext cx="461964" cy="5048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5210174</xdr:colOff>
      <xdr:row>26</xdr:row>
      <xdr:rowOff>47625</xdr:rowOff>
    </xdr:from>
    <xdr:to>
      <xdr:col>2</xdr:col>
      <xdr:colOff>231774</xdr:colOff>
      <xdr:row>33</xdr:row>
      <xdr:rowOff>41274</xdr:rowOff>
    </xdr:to>
    <xdr:sp macro="" textlink="">
      <xdr:nvSpPr>
        <xdr:cNvPr id="12" name="Flowchart: Decision 11">
          <a:extLst>
            <a:ext uri="{FF2B5EF4-FFF2-40B4-BE49-F238E27FC236}">
              <a16:creationId xmlns:a16="http://schemas.microsoft.com/office/drawing/2014/main" id="{C0AA025E-06D8-467A-8244-378FEDE01775}"/>
            </a:ext>
          </a:extLst>
        </xdr:cNvPr>
        <xdr:cNvSpPr/>
      </xdr:nvSpPr>
      <xdr:spPr>
        <a:xfrm>
          <a:off x="5210174" y="4841875"/>
          <a:ext cx="3981450" cy="1282699"/>
        </a:xfrm>
        <a:prstGeom prst="flowChartDecision">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i="0">
              <a:solidFill>
                <a:schemeClr val="tx1"/>
              </a:solidFill>
            </a:rPr>
            <a:t>Does the file also include this tab (with Fund details)?</a:t>
          </a:r>
        </a:p>
      </xdr:txBody>
    </xdr:sp>
    <xdr:clientData/>
  </xdr:twoCellAnchor>
  <xdr:twoCellAnchor>
    <xdr:from>
      <xdr:col>0</xdr:col>
      <xdr:colOff>6974458</xdr:colOff>
      <xdr:row>33</xdr:row>
      <xdr:rowOff>41274</xdr:rowOff>
    </xdr:from>
    <xdr:to>
      <xdr:col>0</xdr:col>
      <xdr:colOff>7207594</xdr:colOff>
      <xdr:row>36</xdr:row>
      <xdr:rowOff>11458</xdr:rowOff>
    </xdr:to>
    <xdr:cxnSp macro="">
      <xdr:nvCxnSpPr>
        <xdr:cNvPr id="13" name="Straight Arrow Connector 12">
          <a:extLst>
            <a:ext uri="{FF2B5EF4-FFF2-40B4-BE49-F238E27FC236}">
              <a16:creationId xmlns:a16="http://schemas.microsoft.com/office/drawing/2014/main" id="{0699161A-ADD5-4F57-92B7-15E64B6FA751}"/>
            </a:ext>
          </a:extLst>
        </xdr:cNvPr>
        <xdr:cNvCxnSpPr>
          <a:cxnSpLocks/>
          <a:stCxn id="12" idx="2"/>
          <a:endCxn id="51" idx="0"/>
        </xdr:cNvCxnSpPr>
      </xdr:nvCxnSpPr>
      <xdr:spPr>
        <a:xfrm flipH="1">
          <a:off x="6974458" y="6062731"/>
          <a:ext cx="233136" cy="51683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4797425</xdr:colOff>
      <xdr:row>43</xdr:row>
      <xdr:rowOff>114302</xdr:rowOff>
    </xdr:from>
    <xdr:to>
      <xdr:col>0</xdr:col>
      <xdr:colOff>5743577</xdr:colOff>
      <xdr:row>49</xdr:row>
      <xdr:rowOff>76202</xdr:rowOff>
    </xdr:to>
    <xdr:cxnSp macro="">
      <xdr:nvCxnSpPr>
        <xdr:cNvPr id="14" name="Connector: Elbow 13">
          <a:extLst>
            <a:ext uri="{FF2B5EF4-FFF2-40B4-BE49-F238E27FC236}">
              <a16:creationId xmlns:a16="http://schemas.microsoft.com/office/drawing/2014/main" id="{686720CF-B98B-4945-A273-65DBF65FCCE9}"/>
            </a:ext>
          </a:extLst>
        </xdr:cNvPr>
        <xdr:cNvCxnSpPr/>
      </xdr:nvCxnSpPr>
      <xdr:spPr>
        <a:xfrm rot="5400000">
          <a:off x="4737101" y="8099426"/>
          <a:ext cx="1066800" cy="946152"/>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276230</xdr:colOff>
      <xdr:row>43</xdr:row>
      <xdr:rowOff>123827</xdr:rowOff>
    </xdr:from>
    <xdr:to>
      <xdr:col>2</xdr:col>
      <xdr:colOff>568327</xdr:colOff>
      <xdr:row>49</xdr:row>
      <xdr:rowOff>6355</xdr:rowOff>
    </xdr:to>
    <xdr:cxnSp macro="">
      <xdr:nvCxnSpPr>
        <xdr:cNvPr id="15" name="Connector: Elbow 14">
          <a:extLst>
            <a:ext uri="{FF2B5EF4-FFF2-40B4-BE49-F238E27FC236}">
              <a16:creationId xmlns:a16="http://schemas.microsoft.com/office/drawing/2014/main" id="{9B87CFD8-73CE-4387-AE42-5B04D96F251B}"/>
            </a:ext>
          </a:extLst>
        </xdr:cNvPr>
        <xdr:cNvCxnSpPr/>
      </xdr:nvCxnSpPr>
      <xdr:spPr>
        <a:xfrm rot="16200000" flipH="1">
          <a:off x="8583615" y="8091492"/>
          <a:ext cx="987428" cy="901697"/>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5083175</xdr:colOff>
      <xdr:row>45</xdr:row>
      <xdr:rowOff>133350</xdr:rowOff>
    </xdr:from>
    <xdr:to>
      <xdr:col>0</xdr:col>
      <xdr:colOff>5514975</xdr:colOff>
      <xdr:row>47</xdr:row>
      <xdr:rowOff>19050</xdr:rowOff>
    </xdr:to>
    <xdr:sp macro="" textlink="">
      <xdr:nvSpPr>
        <xdr:cNvPr id="16" name="TextBox 15">
          <a:extLst>
            <a:ext uri="{FF2B5EF4-FFF2-40B4-BE49-F238E27FC236}">
              <a16:creationId xmlns:a16="http://schemas.microsoft.com/office/drawing/2014/main" id="{3733CA03-BE88-4589-B93E-2E106ECD3246}"/>
            </a:ext>
          </a:extLst>
        </xdr:cNvPr>
        <xdr:cNvSpPr txBox="1"/>
      </xdr:nvSpPr>
      <xdr:spPr>
        <a:xfrm>
          <a:off x="5083175" y="8426450"/>
          <a:ext cx="431800" cy="2540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YES</a:t>
          </a:r>
        </a:p>
        <a:p>
          <a:endParaRPr lang="en-US" sz="1100"/>
        </a:p>
      </xdr:txBody>
    </xdr:sp>
    <xdr:clientData/>
  </xdr:twoCellAnchor>
  <xdr:twoCellAnchor>
    <xdr:from>
      <xdr:col>1</xdr:col>
      <xdr:colOff>434975</xdr:colOff>
      <xdr:row>45</xdr:row>
      <xdr:rowOff>158750</xdr:rowOff>
    </xdr:from>
    <xdr:to>
      <xdr:col>2</xdr:col>
      <xdr:colOff>295275</xdr:colOff>
      <xdr:row>47</xdr:row>
      <xdr:rowOff>6350</xdr:rowOff>
    </xdr:to>
    <xdr:sp macro="" textlink="">
      <xdr:nvSpPr>
        <xdr:cNvPr id="17" name="TextBox 16">
          <a:extLst>
            <a:ext uri="{FF2B5EF4-FFF2-40B4-BE49-F238E27FC236}">
              <a16:creationId xmlns:a16="http://schemas.microsoft.com/office/drawing/2014/main" id="{13E88B01-FF8B-432D-ADD3-4ACE2821D9FC}"/>
            </a:ext>
          </a:extLst>
        </xdr:cNvPr>
        <xdr:cNvSpPr txBox="1"/>
      </xdr:nvSpPr>
      <xdr:spPr>
        <a:xfrm>
          <a:off x="8785225" y="8451850"/>
          <a:ext cx="469900" cy="215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NO</a:t>
          </a:r>
        </a:p>
        <a:p>
          <a:pPr algn="ctr"/>
          <a:endParaRPr lang="en-US" sz="1100"/>
        </a:p>
      </xdr:txBody>
    </xdr:sp>
    <xdr:clientData/>
  </xdr:twoCellAnchor>
  <xdr:twoCellAnchor>
    <xdr:from>
      <xdr:col>0</xdr:col>
      <xdr:colOff>3790950</xdr:colOff>
      <xdr:row>49</xdr:row>
      <xdr:rowOff>79374</xdr:rowOff>
    </xdr:from>
    <xdr:to>
      <xdr:col>0</xdr:col>
      <xdr:colOff>5854700</xdr:colOff>
      <xdr:row>56</xdr:row>
      <xdr:rowOff>66260</xdr:rowOff>
    </xdr:to>
    <xdr:sp macro="" textlink="">
      <xdr:nvSpPr>
        <xdr:cNvPr id="18" name="TextBox 17">
          <a:extLst>
            <a:ext uri="{FF2B5EF4-FFF2-40B4-BE49-F238E27FC236}">
              <a16:creationId xmlns:a16="http://schemas.microsoft.com/office/drawing/2014/main" id="{42820F71-7404-4E6D-8BAA-9BD47664FEDF}"/>
            </a:ext>
          </a:extLst>
        </xdr:cNvPr>
        <xdr:cNvSpPr txBox="1"/>
      </xdr:nvSpPr>
      <xdr:spPr>
        <a:xfrm>
          <a:off x="3790950" y="9016309"/>
          <a:ext cx="2063750" cy="1262408"/>
        </a:xfrm>
        <a:prstGeom prst="rect">
          <a:avLst/>
        </a:prstGeom>
        <a:solidFill>
          <a:schemeClr val="accent6">
            <a:lumMod val="60000"/>
            <a:lumOff val="4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US" i="1"/>
            <a:t>This is a Property and Fund Setup. </a:t>
          </a:r>
        </a:p>
        <a:p>
          <a:pPr algn="ctr"/>
          <a:endParaRPr lang="en-US" i="1"/>
        </a:p>
        <a:p>
          <a:pPr algn="ctr"/>
          <a:r>
            <a:rPr lang="en-US" i="1"/>
            <a:t>Please complete the Fund Setup first</a:t>
          </a:r>
          <a:r>
            <a:rPr lang="en-US" i="1" baseline="0"/>
            <a:t> </a:t>
          </a:r>
          <a:r>
            <a:rPr lang="en-US" i="1"/>
            <a:t>before proceeding with the Property Setup.</a:t>
          </a:r>
        </a:p>
      </xdr:txBody>
    </xdr:sp>
    <xdr:clientData/>
  </xdr:twoCellAnchor>
  <xdr:twoCellAnchor>
    <xdr:from>
      <xdr:col>1</xdr:col>
      <xdr:colOff>177800</xdr:colOff>
      <xdr:row>49</xdr:row>
      <xdr:rowOff>25400</xdr:rowOff>
    </xdr:from>
    <xdr:to>
      <xdr:col>4</xdr:col>
      <xdr:colOff>419100</xdr:colOff>
      <xdr:row>54</xdr:row>
      <xdr:rowOff>91108</xdr:rowOff>
    </xdr:to>
    <xdr:sp macro="" textlink="">
      <xdr:nvSpPr>
        <xdr:cNvPr id="19" name="TextBox 18">
          <a:extLst>
            <a:ext uri="{FF2B5EF4-FFF2-40B4-BE49-F238E27FC236}">
              <a16:creationId xmlns:a16="http://schemas.microsoft.com/office/drawing/2014/main" id="{3C32F134-1617-4833-9445-7AB1D7998210}"/>
            </a:ext>
          </a:extLst>
        </xdr:cNvPr>
        <xdr:cNvSpPr txBox="1"/>
      </xdr:nvSpPr>
      <xdr:spPr>
        <a:xfrm>
          <a:off x="8534952" y="8962335"/>
          <a:ext cx="2080039" cy="976795"/>
        </a:xfrm>
        <a:prstGeom prst="rect">
          <a:avLst/>
        </a:prstGeom>
        <a:solidFill>
          <a:schemeClr val="accent6">
            <a:lumMod val="60000"/>
            <a:lumOff val="4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i="1"/>
            <a:t>This is a Property Setup only case. </a:t>
          </a:r>
        </a:p>
        <a:p>
          <a:pPr algn="ctr"/>
          <a:endParaRPr lang="en-US" i="1"/>
        </a:p>
        <a:p>
          <a:pPr algn="ctr"/>
          <a:r>
            <a:rPr lang="en-US" i="1"/>
            <a:t>Please follow the Property Setup instructions.</a:t>
          </a:r>
          <a:endParaRPr lang="en-US"/>
        </a:p>
      </xdr:txBody>
    </xdr:sp>
    <xdr:clientData/>
  </xdr:twoCellAnchor>
  <xdr:twoCellAnchor>
    <xdr:from>
      <xdr:col>7</xdr:col>
      <xdr:colOff>163606</xdr:colOff>
      <xdr:row>23</xdr:row>
      <xdr:rowOff>118690</xdr:rowOff>
    </xdr:from>
    <xdr:to>
      <xdr:col>14</xdr:col>
      <xdr:colOff>27607</xdr:colOff>
      <xdr:row>30</xdr:row>
      <xdr:rowOff>118689</xdr:rowOff>
    </xdr:to>
    <xdr:sp macro="" textlink="">
      <xdr:nvSpPr>
        <xdr:cNvPr id="20" name="Flowchart: Decision 19">
          <a:extLst>
            <a:ext uri="{FF2B5EF4-FFF2-40B4-BE49-F238E27FC236}">
              <a16:creationId xmlns:a16="http://schemas.microsoft.com/office/drawing/2014/main" id="{A3560850-CA8E-462A-A0DF-CB299427EE2D}"/>
            </a:ext>
          </a:extLst>
        </xdr:cNvPr>
        <xdr:cNvSpPr/>
      </xdr:nvSpPr>
      <xdr:spPr>
        <a:xfrm>
          <a:off x="12156823" y="4320733"/>
          <a:ext cx="4115741" cy="1275521"/>
        </a:xfrm>
        <a:prstGeom prst="flowChartDecision">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i="0">
              <a:solidFill>
                <a:schemeClr val="tx1"/>
              </a:solidFill>
            </a:rPr>
            <a:t>Does the file include this tab (with tables that have "Upper Tier" and "Lower Tier" headers)?</a:t>
          </a:r>
        </a:p>
      </xdr:txBody>
    </xdr:sp>
    <xdr:clientData/>
  </xdr:twoCellAnchor>
  <xdr:twoCellAnchor>
    <xdr:from>
      <xdr:col>10</xdr:col>
      <xdr:colOff>323477</xdr:colOff>
      <xdr:row>30</xdr:row>
      <xdr:rowOff>118689</xdr:rowOff>
    </xdr:from>
    <xdr:to>
      <xdr:col>10</xdr:col>
      <xdr:colOff>399303</xdr:colOff>
      <xdr:row>32</xdr:row>
      <xdr:rowOff>90469</xdr:rowOff>
    </xdr:to>
    <xdr:cxnSp macro="">
      <xdr:nvCxnSpPr>
        <xdr:cNvPr id="21" name="Straight Arrow Connector 20">
          <a:extLst>
            <a:ext uri="{FF2B5EF4-FFF2-40B4-BE49-F238E27FC236}">
              <a16:creationId xmlns:a16="http://schemas.microsoft.com/office/drawing/2014/main" id="{3F6FAB47-51DC-457C-9446-8A55DA6A0218}"/>
            </a:ext>
          </a:extLst>
        </xdr:cNvPr>
        <xdr:cNvCxnSpPr>
          <a:stCxn id="20" idx="2"/>
          <a:endCxn id="22" idx="0"/>
        </xdr:cNvCxnSpPr>
      </xdr:nvCxnSpPr>
      <xdr:spPr>
        <a:xfrm flipH="1">
          <a:off x="14138868" y="5596254"/>
          <a:ext cx="75826" cy="33621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5</xdr:col>
      <xdr:colOff>142501</xdr:colOff>
      <xdr:row>32</xdr:row>
      <xdr:rowOff>90469</xdr:rowOff>
    </xdr:from>
    <xdr:to>
      <xdr:col>15</xdr:col>
      <xdr:colOff>504451</xdr:colOff>
      <xdr:row>40</xdr:row>
      <xdr:rowOff>158827</xdr:rowOff>
    </xdr:to>
    <xdr:pic>
      <xdr:nvPicPr>
        <xdr:cNvPr id="22" name="Picture 21">
          <a:extLst>
            <a:ext uri="{FF2B5EF4-FFF2-40B4-BE49-F238E27FC236}">
              <a16:creationId xmlns:a16="http://schemas.microsoft.com/office/drawing/2014/main" id="{18DFA8A7-AFDB-415E-85FC-8D14A58FEB03}"/>
            </a:ext>
          </a:extLst>
        </xdr:cNvPr>
        <xdr:cNvPicPr>
          <a:picLocks noChangeAspect="1"/>
        </xdr:cNvPicPr>
      </xdr:nvPicPr>
      <xdr:blipFill>
        <a:blip xmlns:r="http://schemas.openxmlformats.org/officeDocument/2006/relationships" r:embed="rId1"/>
        <a:stretch>
          <a:fillRect/>
        </a:stretch>
      </xdr:blipFill>
      <xdr:spPr>
        <a:xfrm>
          <a:off x="10931151" y="5989619"/>
          <a:ext cx="6457950" cy="1522508"/>
        </a:xfrm>
        <a:prstGeom prst="rect">
          <a:avLst/>
        </a:prstGeom>
      </xdr:spPr>
    </xdr:pic>
    <xdr:clientData/>
  </xdr:twoCellAnchor>
  <xdr:twoCellAnchor>
    <xdr:from>
      <xdr:col>7</xdr:col>
      <xdr:colOff>161084</xdr:colOff>
      <xdr:row>40</xdr:row>
      <xdr:rowOff>126067</xdr:rowOff>
    </xdr:from>
    <xdr:to>
      <xdr:col>8</xdr:col>
      <xdr:colOff>491566</xdr:colOff>
      <xdr:row>46</xdr:row>
      <xdr:rowOff>84793</xdr:rowOff>
    </xdr:to>
    <xdr:cxnSp macro="">
      <xdr:nvCxnSpPr>
        <xdr:cNvPr id="23" name="Connector: Elbow 22">
          <a:extLst>
            <a:ext uri="{FF2B5EF4-FFF2-40B4-BE49-F238E27FC236}">
              <a16:creationId xmlns:a16="http://schemas.microsoft.com/office/drawing/2014/main" id="{EE621E91-B6C5-44E8-AC1D-2E136060BCFF}"/>
            </a:ext>
          </a:extLst>
        </xdr:cNvPr>
        <xdr:cNvCxnSpPr/>
      </xdr:nvCxnSpPr>
      <xdr:spPr>
        <a:xfrm rot="5400000">
          <a:off x="12107162" y="7560189"/>
          <a:ext cx="1063626" cy="940082"/>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446834</xdr:colOff>
      <xdr:row>42</xdr:row>
      <xdr:rowOff>145115</xdr:rowOff>
    </xdr:from>
    <xdr:to>
      <xdr:col>8</xdr:col>
      <xdr:colOff>262964</xdr:colOff>
      <xdr:row>44</xdr:row>
      <xdr:rowOff>27641</xdr:rowOff>
    </xdr:to>
    <xdr:sp macro="" textlink="">
      <xdr:nvSpPr>
        <xdr:cNvPr id="24" name="TextBox 23">
          <a:extLst>
            <a:ext uri="{FF2B5EF4-FFF2-40B4-BE49-F238E27FC236}">
              <a16:creationId xmlns:a16="http://schemas.microsoft.com/office/drawing/2014/main" id="{CB8387FE-798B-4B52-9430-BD898CB242B8}"/>
            </a:ext>
          </a:extLst>
        </xdr:cNvPr>
        <xdr:cNvSpPr txBox="1"/>
      </xdr:nvSpPr>
      <xdr:spPr>
        <a:xfrm>
          <a:off x="12454684" y="7885765"/>
          <a:ext cx="425730" cy="25082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YES</a:t>
          </a:r>
        </a:p>
        <a:p>
          <a:endParaRPr lang="en-US" sz="1100"/>
        </a:p>
      </xdr:txBody>
    </xdr:sp>
    <xdr:clientData/>
  </xdr:twoCellAnchor>
  <xdr:twoCellAnchor>
    <xdr:from>
      <xdr:col>5</xdr:col>
      <xdr:colOff>521447</xdr:colOff>
      <xdr:row>46</xdr:row>
      <xdr:rowOff>98051</xdr:rowOff>
    </xdr:from>
    <xdr:to>
      <xdr:col>9</xdr:col>
      <xdr:colOff>141567</xdr:colOff>
      <xdr:row>58</xdr:row>
      <xdr:rowOff>121477</xdr:rowOff>
    </xdr:to>
    <xdr:sp macro="" textlink="">
      <xdr:nvSpPr>
        <xdr:cNvPr id="25" name="TextBox 24">
          <a:extLst>
            <a:ext uri="{FF2B5EF4-FFF2-40B4-BE49-F238E27FC236}">
              <a16:creationId xmlns:a16="http://schemas.microsoft.com/office/drawing/2014/main" id="{9D1C5264-47F0-44B0-B673-D3CA8A6986FA}"/>
            </a:ext>
          </a:extLst>
        </xdr:cNvPr>
        <xdr:cNvSpPr txBox="1"/>
      </xdr:nvSpPr>
      <xdr:spPr>
        <a:xfrm>
          <a:off x="11299882" y="8491094"/>
          <a:ext cx="2049685" cy="2210035"/>
        </a:xfrm>
        <a:prstGeom prst="rect">
          <a:avLst/>
        </a:prstGeom>
        <a:solidFill>
          <a:schemeClr val="accent6">
            <a:lumMod val="60000"/>
            <a:lumOff val="4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US" i="1"/>
            <a:t>This is a Property and Fund Setup. </a:t>
          </a:r>
        </a:p>
        <a:p>
          <a:pPr algn="ctr"/>
          <a:endParaRPr lang="en-US" i="1"/>
        </a:p>
        <a:p>
          <a:pPr algn="ctr"/>
          <a:r>
            <a:rPr lang="en-US" i="1"/>
            <a:t>Please copy the tab from the file and paste it into the "Property" tab here. </a:t>
          </a:r>
        </a:p>
        <a:p>
          <a:pPr algn="ctr"/>
          <a:endParaRPr lang="en-US" i="1"/>
        </a:p>
        <a:p>
          <a:pPr marL="0" marR="0" lvl="0" indent="0" algn="ctr" defTabSz="914400" eaLnBrk="1" fontAlgn="auto" latinLnBrk="0" hangingPunct="1">
            <a:lnSpc>
              <a:spcPct val="100000"/>
            </a:lnSpc>
            <a:spcBef>
              <a:spcPts val="0"/>
            </a:spcBef>
            <a:spcAft>
              <a:spcPts val="0"/>
            </a:spcAft>
            <a:buClrTx/>
            <a:buSzTx/>
            <a:buFontTx/>
            <a:buNone/>
            <a:tabLst/>
            <a:defRPr/>
          </a:pPr>
          <a:r>
            <a:rPr lang="en-US" sz="1100" i="1">
              <a:solidFill>
                <a:schemeClr val="dk1"/>
              </a:solidFill>
              <a:effectLst/>
              <a:latin typeface="+mn-lt"/>
              <a:ea typeface="+mn-ea"/>
              <a:cs typeface="+mn-cs"/>
            </a:rPr>
            <a:t>Then, open the NW Fund Setup Template and </a:t>
          </a:r>
          <a:r>
            <a:rPr lang="en-US" sz="1100" b="1" i="1">
              <a:solidFill>
                <a:schemeClr val="dk1"/>
              </a:solidFill>
              <a:effectLst/>
              <a:latin typeface="+mn-lt"/>
              <a:ea typeface="+mn-ea"/>
              <a:cs typeface="+mn-cs"/>
            </a:rPr>
            <a:t>COMPLETE FUND</a:t>
          </a:r>
          <a:r>
            <a:rPr lang="en-US" sz="1100" b="1" i="1" baseline="0">
              <a:solidFill>
                <a:schemeClr val="dk1"/>
              </a:solidFill>
              <a:effectLst/>
              <a:latin typeface="+mn-lt"/>
              <a:ea typeface="+mn-ea"/>
              <a:cs typeface="+mn-cs"/>
            </a:rPr>
            <a:t> SETUP FIRST</a:t>
          </a:r>
          <a:r>
            <a:rPr lang="en-US" sz="1100" i="1" baseline="0">
              <a:solidFill>
                <a:schemeClr val="dk1"/>
              </a:solidFill>
              <a:effectLst/>
              <a:latin typeface="+mn-lt"/>
              <a:ea typeface="+mn-ea"/>
              <a:cs typeface="+mn-cs"/>
            </a:rPr>
            <a:t> </a:t>
          </a:r>
          <a:r>
            <a:rPr lang="en-US" sz="1100" i="1">
              <a:solidFill>
                <a:schemeClr val="dk1"/>
              </a:solidFill>
              <a:effectLst/>
              <a:latin typeface="+mn-lt"/>
              <a:ea typeface="+mn-ea"/>
              <a:cs typeface="+mn-cs"/>
            </a:rPr>
            <a:t>before proceeding with the Property Setup.</a:t>
          </a:r>
          <a:endParaRPr lang="en-US">
            <a:effectLst/>
          </a:endParaRPr>
        </a:p>
        <a:p>
          <a:pPr algn="ctr"/>
          <a:endParaRPr lang="en-US" i="1"/>
        </a:p>
      </xdr:txBody>
    </xdr:sp>
    <xdr:clientData/>
  </xdr:twoCellAnchor>
  <xdr:twoCellAnchor>
    <xdr:from>
      <xdr:col>12</xdr:col>
      <xdr:colOff>263344</xdr:colOff>
      <xdr:row>40</xdr:row>
      <xdr:rowOff>126066</xdr:rowOff>
    </xdr:from>
    <xdr:to>
      <xdr:col>13</xdr:col>
      <xdr:colOff>555441</xdr:colOff>
      <xdr:row>46</xdr:row>
      <xdr:rowOff>11770</xdr:rowOff>
    </xdr:to>
    <xdr:cxnSp macro="">
      <xdr:nvCxnSpPr>
        <xdr:cNvPr id="26" name="Connector: Elbow 25">
          <a:extLst>
            <a:ext uri="{FF2B5EF4-FFF2-40B4-BE49-F238E27FC236}">
              <a16:creationId xmlns:a16="http://schemas.microsoft.com/office/drawing/2014/main" id="{96173AD3-2A93-44DA-AA63-95B7252BF538}"/>
            </a:ext>
          </a:extLst>
        </xdr:cNvPr>
        <xdr:cNvCxnSpPr/>
      </xdr:nvCxnSpPr>
      <xdr:spPr>
        <a:xfrm rot="16200000" flipH="1">
          <a:off x="15274741" y="7542869"/>
          <a:ext cx="990604" cy="901697"/>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422089</xdr:colOff>
      <xdr:row>42</xdr:row>
      <xdr:rowOff>167339</xdr:rowOff>
    </xdr:from>
    <xdr:to>
      <xdr:col>13</xdr:col>
      <xdr:colOff>282389</xdr:colOff>
      <xdr:row>44</xdr:row>
      <xdr:rowOff>11765</xdr:rowOff>
    </xdr:to>
    <xdr:sp macro="" textlink="">
      <xdr:nvSpPr>
        <xdr:cNvPr id="27" name="TextBox 26">
          <a:extLst>
            <a:ext uri="{FF2B5EF4-FFF2-40B4-BE49-F238E27FC236}">
              <a16:creationId xmlns:a16="http://schemas.microsoft.com/office/drawing/2014/main" id="{67D533E0-2BA5-4638-89E1-68EE9191F33F}"/>
            </a:ext>
          </a:extLst>
        </xdr:cNvPr>
        <xdr:cNvSpPr txBox="1"/>
      </xdr:nvSpPr>
      <xdr:spPr>
        <a:xfrm>
          <a:off x="15477939" y="7907989"/>
          <a:ext cx="469900" cy="2127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NO</a:t>
          </a:r>
        </a:p>
        <a:p>
          <a:pPr algn="ctr"/>
          <a:endParaRPr lang="en-US" sz="1100"/>
        </a:p>
      </xdr:txBody>
    </xdr:sp>
    <xdr:clientData/>
  </xdr:twoCellAnchor>
  <xdr:twoCellAnchor>
    <xdr:from>
      <xdr:col>15</xdr:col>
      <xdr:colOff>156391</xdr:colOff>
      <xdr:row>67</xdr:row>
      <xdr:rowOff>141045</xdr:rowOff>
    </xdr:from>
    <xdr:to>
      <xdr:col>18</xdr:col>
      <xdr:colOff>400866</xdr:colOff>
      <xdr:row>74</xdr:row>
      <xdr:rowOff>47077</xdr:rowOff>
    </xdr:to>
    <xdr:sp macro="" textlink="">
      <xdr:nvSpPr>
        <xdr:cNvPr id="28" name="TextBox 27">
          <a:extLst>
            <a:ext uri="{FF2B5EF4-FFF2-40B4-BE49-F238E27FC236}">
              <a16:creationId xmlns:a16="http://schemas.microsoft.com/office/drawing/2014/main" id="{FE2112D7-12F7-45A1-BE2D-4207BC164103}"/>
            </a:ext>
          </a:extLst>
        </xdr:cNvPr>
        <xdr:cNvSpPr txBox="1"/>
      </xdr:nvSpPr>
      <xdr:spPr>
        <a:xfrm>
          <a:off x="17008739" y="12360654"/>
          <a:ext cx="2066649" cy="1181553"/>
        </a:xfrm>
        <a:prstGeom prst="rect">
          <a:avLst/>
        </a:prstGeom>
        <a:solidFill>
          <a:schemeClr val="accent6">
            <a:lumMod val="60000"/>
            <a:lumOff val="4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i="1"/>
            <a:t>This is a Fund Setup only case. You are currently in the wrong template. </a:t>
          </a:r>
        </a:p>
        <a:p>
          <a:pPr algn="ctr"/>
          <a:endParaRPr lang="en-US" i="1"/>
        </a:p>
        <a:p>
          <a:pPr algn="ctr"/>
          <a:r>
            <a:rPr lang="en-US" i="1"/>
            <a:t>Please use the NW Fund Setup Template.</a:t>
          </a:r>
        </a:p>
      </xdr:txBody>
    </xdr:sp>
    <xdr:clientData/>
  </xdr:twoCellAnchor>
  <xdr:twoCellAnchor>
    <xdr:from>
      <xdr:col>11</xdr:col>
      <xdr:colOff>416390</xdr:colOff>
      <xdr:row>46</xdr:row>
      <xdr:rowOff>14008</xdr:rowOff>
    </xdr:from>
    <xdr:to>
      <xdr:col>16</xdr:col>
      <xdr:colOff>91700</xdr:colOff>
      <xdr:row>51</xdr:row>
      <xdr:rowOff>6350</xdr:rowOff>
    </xdr:to>
    <xdr:sp macro="" textlink="">
      <xdr:nvSpPr>
        <xdr:cNvPr id="29" name="Flowchart: Decision 28">
          <a:extLst>
            <a:ext uri="{FF2B5EF4-FFF2-40B4-BE49-F238E27FC236}">
              <a16:creationId xmlns:a16="http://schemas.microsoft.com/office/drawing/2014/main" id="{F06B1FCD-838F-4AE0-985B-6B99791D96D4}"/>
            </a:ext>
          </a:extLst>
        </xdr:cNvPr>
        <xdr:cNvSpPr/>
      </xdr:nvSpPr>
      <xdr:spPr>
        <a:xfrm>
          <a:off x="14862640" y="8491258"/>
          <a:ext cx="2723310" cy="913092"/>
        </a:xfrm>
        <a:prstGeom prst="flowChartDecision">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i="0">
              <a:solidFill>
                <a:schemeClr val="tx1"/>
              </a:solidFill>
            </a:rPr>
            <a:t>Does the file include this Fund</a:t>
          </a:r>
          <a:r>
            <a:rPr lang="en-US" i="0" baseline="0">
              <a:solidFill>
                <a:schemeClr val="tx1"/>
              </a:solidFill>
            </a:rPr>
            <a:t> </a:t>
          </a:r>
          <a:r>
            <a:rPr lang="en-US" i="0">
              <a:solidFill>
                <a:schemeClr val="tx1"/>
              </a:solidFill>
            </a:rPr>
            <a:t>tab?</a:t>
          </a:r>
        </a:p>
      </xdr:txBody>
    </xdr:sp>
    <xdr:clientData/>
  </xdr:twoCellAnchor>
  <xdr:twoCellAnchor>
    <xdr:from>
      <xdr:col>13</xdr:col>
      <xdr:colOff>557741</xdr:colOff>
      <xdr:row>51</xdr:row>
      <xdr:rowOff>6350</xdr:rowOff>
    </xdr:from>
    <xdr:to>
      <xdr:col>16</xdr:col>
      <xdr:colOff>570759</xdr:colOff>
      <xdr:row>55</xdr:row>
      <xdr:rowOff>99804</xdr:rowOff>
    </xdr:to>
    <xdr:cxnSp macro="">
      <xdr:nvCxnSpPr>
        <xdr:cNvPr id="31" name="Straight Arrow Connector 30">
          <a:extLst>
            <a:ext uri="{FF2B5EF4-FFF2-40B4-BE49-F238E27FC236}">
              <a16:creationId xmlns:a16="http://schemas.microsoft.com/office/drawing/2014/main" id="{20D24BDC-6B46-4C45-B922-896754228F40}"/>
            </a:ext>
          </a:extLst>
        </xdr:cNvPr>
        <xdr:cNvCxnSpPr>
          <a:cxnSpLocks/>
          <a:stCxn id="29" idx="2"/>
          <a:endCxn id="57" idx="0"/>
        </xdr:cNvCxnSpPr>
      </xdr:nvCxnSpPr>
      <xdr:spPr>
        <a:xfrm>
          <a:off x="16195306" y="9310480"/>
          <a:ext cx="1835192" cy="82232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570759</xdr:colOff>
      <xdr:row>62</xdr:row>
      <xdr:rowOff>176279</xdr:rowOff>
    </xdr:from>
    <xdr:to>
      <xdr:col>16</xdr:col>
      <xdr:colOff>582325</xdr:colOff>
      <xdr:row>67</xdr:row>
      <xdr:rowOff>141045</xdr:rowOff>
    </xdr:to>
    <xdr:cxnSp macro="">
      <xdr:nvCxnSpPr>
        <xdr:cNvPr id="32" name="Straight Arrow Connector 31">
          <a:extLst>
            <a:ext uri="{FF2B5EF4-FFF2-40B4-BE49-F238E27FC236}">
              <a16:creationId xmlns:a16="http://schemas.microsoft.com/office/drawing/2014/main" id="{63A569DA-EB13-46BF-BD5D-1BA1C5CE2BC7}"/>
            </a:ext>
          </a:extLst>
        </xdr:cNvPr>
        <xdr:cNvCxnSpPr>
          <a:cxnSpLocks/>
          <a:stCxn id="57" idx="2"/>
          <a:endCxn id="28" idx="0"/>
        </xdr:cNvCxnSpPr>
      </xdr:nvCxnSpPr>
      <xdr:spPr>
        <a:xfrm>
          <a:off x="18030498" y="11484801"/>
          <a:ext cx="11566" cy="87585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6096000</xdr:colOff>
      <xdr:row>7</xdr:row>
      <xdr:rowOff>143980</xdr:rowOff>
    </xdr:from>
    <xdr:to>
      <xdr:col>9</xdr:col>
      <xdr:colOff>163719</xdr:colOff>
      <xdr:row>13</xdr:row>
      <xdr:rowOff>173934</xdr:rowOff>
    </xdr:to>
    <xdr:pic>
      <xdr:nvPicPr>
        <xdr:cNvPr id="33" name="Picture 32">
          <a:extLst>
            <a:ext uri="{FF2B5EF4-FFF2-40B4-BE49-F238E27FC236}">
              <a16:creationId xmlns:a16="http://schemas.microsoft.com/office/drawing/2014/main" id="{A297BDC7-9EBB-4819-A502-49FA1D4CC769}"/>
            </a:ext>
          </a:extLst>
        </xdr:cNvPr>
        <xdr:cNvPicPr>
          <a:picLocks noChangeAspect="1"/>
        </xdr:cNvPicPr>
      </xdr:nvPicPr>
      <xdr:blipFill>
        <a:blip xmlns:r="http://schemas.openxmlformats.org/officeDocument/2006/relationships" r:embed="rId2"/>
        <a:stretch>
          <a:fillRect/>
        </a:stretch>
      </xdr:blipFill>
      <xdr:spPr>
        <a:xfrm>
          <a:off x="6096000" y="1427784"/>
          <a:ext cx="7325001" cy="1123259"/>
        </a:xfrm>
        <a:prstGeom prst="rect">
          <a:avLst/>
        </a:prstGeom>
      </xdr:spPr>
    </xdr:pic>
    <xdr:clientData/>
  </xdr:twoCellAnchor>
  <xdr:twoCellAnchor editAs="oneCell">
    <xdr:from>
      <xdr:col>0</xdr:col>
      <xdr:colOff>3571047</xdr:colOff>
      <xdr:row>36</xdr:row>
      <xdr:rowOff>11458</xdr:rowOff>
    </xdr:from>
    <xdr:to>
      <xdr:col>4</xdr:col>
      <xdr:colOff>181977</xdr:colOff>
      <xdr:row>43</xdr:row>
      <xdr:rowOff>91109</xdr:rowOff>
    </xdr:to>
    <xdr:pic>
      <xdr:nvPicPr>
        <xdr:cNvPr id="51" name="Picture 50">
          <a:extLst>
            <a:ext uri="{FF2B5EF4-FFF2-40B4-BE49-F238E27FC236}">
              <a16:creationId xmlns:a16="http://schemas.microsoft.com/office/drawing/2014/main" id="{C4D72FEE-52BC-4DC7-A5F5-CAE1DFEEF7FD}"/>
            </a:ext>
          </a:extLst>
        </xdr:cNvPr>
        <xdr:cNvPicPr>
          <a:picLocks noChangeAspect="1"/>
        </xdr:cNvPicPr>
      </xdr:nvPicPr>
      <xdr:blipFill>
        <a:blip xmlns:r="http://schemas.openxmlformats.org/officeDocument/2006/relationships" r:embed="rId3"/>
        <a:stretch>
          <a:fillRect/>
        </a:stretch>
      </xdr:blipFill>
      <xdr:spPr>
        <a:xfrm>
          <a:off x="3571047" y="6579567"/>
          <a:ext cx="6806821" cy="1355172"/>
        </a:xfrm>
        <a:prstGeom prst="rect">
          <a:avLst/>
        </a:prstGeom>
      </xdr:spPr>
    </xdr:pic>
    <xdr:clientData/>
  </xdr:twoCellAnchor>
  <xdr:twoCellAnchor editAs="oneCell">
    <xdr:from>
      <xdr:col>11</xdr:col>
      <xdr:colOff>237849</xdr:colOff>
      <xdr:row>55</xdr:row>
      <xdr:rowOff>99804</xdr:rowOff>
    </xdr:from>
    <xdr:to>
      <xdr:col>22</xdr:col>
      <xdr:colOff>296276</xdr:colOff>
      <xdr:row>62</xdr:row>
      <xdr:rowOff>176279</xdr:rowOff>
    </xdr:to>
    <xdr:pic>
      <xdr:nvPicPr>
        <xdr:cNvPr id="57" name="Picture 56">
          <a:extLst>
            <a:ext uri="{FF2B5EF4-FFF2-40B4-BE49-F238E27FC236}">
              <a16:creationId xmlns:a16="http://schemas.microsoft.com/office/drawing/2014/main" id="{39533181-F527-46A5-8B44-8089037DCD8B}"/>
            </a:ext>
          </a:extLst>
        </xdr:cNvPr>
        <xdr:cNvPicPr>
          <a:picLocks noChangeAspect="1"/>
        </xdr:cNvPicPr>
      </xdr:nvPicPr>
      <xdr:blipFill>
        <a:blip xmlns:r="http://schemas.openxmlformats.org/officeDocument/2006/relationships" r:embed="rId3"/>
        <a:stretch>
          <a:fillRect/>
        </a:stretch>
      </xdr:blipFill>
      <xdr:spPr>
        <a:xfrm>
          <a:off x="14660632" y="10132804"/>
          <a:ext cx="6739731" cy="1351997"/>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Jairah Nepomuceno" id="{4B414B80-5360-48EF-95F3-4B8E153B3811}" userId="S::Jairah.Nepomuceno@mrisoftware.com::87675eba-69e4-474f-a92e-880220672e1c"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0" dT="2026-03-16T21:52:29.18" personId="{4B414B80-5360-48EF-95F3-4B8E153B3811}" id="{6110C1F0-3790-40B5-AFC6-C4292320E461}">
    <text xml:space="preserve">FOR LEGAL ENTITIES
Ownership = ‘1’ unless there are multiple legal entities, then find percentage based on each legal entity commitment amount divided by the total commitment amount. For example, the legal entities are as follows:  
nlic – $30,000 
nlaic – $25,000 
You will add up the commitment to a total of 55,000 (30,000 + 25,000) and divide each entity commitment amount by the total to get the percentage (25,000/55,000 = 45%) and (30,000/55,000 = 55%)
</text>
  </threadedComment>
  <threadedComment ref="F16" dT="2026-03-16T21:57:29.04" personId="{4B414B80-5360-48EF-95F3-4B8E153B3811}" id="{F6F5EC27-0C9E-4B33-B6C9-8D7B0A4434B9}">
    <text>FOR MANUAL
Ownership = ‘1’ unless there are multiple funds given.
For example: 2 funds, Ownership= .50</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5FDA4-2A27-4FCD-A26D-785A5E1F3C63}">
  <sheetPr>
    <tabColor theme="4" tint="-0.249977111117893"/>
  </sheetPr>
  <dimension ref="A1:A19"/>
  <sheetViews>
    <sheetView showGridLines="0" zoomScale="115" zoomScaleNormal="115" workbookViewId="0">
      <selection activeCell="D30" sqref="D30"/>
    </sheetView>
  </sheetViews>
  <sheetFormatPr defaultRowHeight="14.5" x14ac:dyDescent="0.35"/>
  <cols>
    <col min="1" max="1" width="119.54296875" customWidth="1"/>
  </cols>
  <sheetData>
    <row r="1" spans="1:1" ht="15" thickBot="1" x14ac:dyDescent="0.4">
      <c r="A1" s="25" t="s">
        <v>95</v>
      </c>
    </row>
    <row r="4" spans="1:1" x14ac:dyDescent="0.35">
      <c r="A4" s="23"/>
    </row>
    <row r="5" spans="1:1" x14ac:dyDescent="0.35">
      <c r="A5" s="24"/>
    </row>
    <row r="6" spans="1:1" x14ac:dyDescent="0.35">
      <c r="A6" s="23"/>
    </row>
    <row r="7" spans="1:1" x14ac:dyDescent="0.35">
      <c r="A7" s="23"/>
    </row>
    <row r="8" spans="1:1" x14ac:dyDescent="0.35">
      <c r="A8" s="23"/>
    </row>
    <row r="17" spans="1:1" x14ac:dyDescent="0.35">
      <c r="A17" s="24"/>
    </row>
    <row r="18" spans="1:1" x14ac:dyDescent="0.35">
      <c r="A18" s="23"/>
    </row>
    <row r="19" spans="1:1" x14ac:dyDescent="0.35">
      <c r="A19" s="23"/>
    </row>
  </sheetData>
  <pageMargins left="0.7" right="0.7" top="0.75" bottom="0.75" header="0.3" footer="0.3"/>
  <pageSetup orientation="portrait" horizontalDpi="200" verticalDpi="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A5BFB-87CF-4877-9E89-34E32C6B257F}">
  <sheetPr>
    <tabColor theme="4" tint="-0.249977111117893"/>
  </sheetPr>
  <dimension ref="A1:F16"/>
  <sheetViews>
    <sheetView zoomScale="85" zoomScaleNormal="85" workbookViewId="0">
      <selection activeCell="H13" sqref="H13"/>
    </sheetView>
  </sheetViews>
  <sheetFormatPr defaultRowHeight="14.5" x14ac:dyDescent="0.35"/>
  <cols>
    <col min="1" max="1" width="40.26953125" customWidth="1"/>
    <col min="2" max="2" width="90.36328125" customWidth="1"/>
    <col min="3" max="3" width="30.36328125" bestFit="1" customWidth="1"/>
    <col min="4" max="4" width="45.08984375" customWidth="1"/>
    <col min="5" max="5" width="42.90625" customWidth="1"/>
    <col min="6" max="6" width="17.36328125" customWidth="1"/>
  </cols>
  <sheetData>
    <row r="1" spans="1:6" x14ac:dyDescent="0.35">
      <c r="A1" s="77" t="s">
        <v>69</v>
      </c>
      <c r="B1" s="78"/>
    </row>
    <row r="2" spans="1:6" ht="39.5" customHeight="1" x14ac:dyDescent="0.35">
      <c r="A2" s="8" t="s">
        <v>89</v>
      </c>
      <c r="B2" s="8" t="s">
        <v>90</v>
      </c>
    </row>
    <row r="3" spans="1:6" ht="55" customHeight="1" x14ac:dyDescent="0.35">
      <c r="A3" s="27" t="s">
        <v>106</v>
      </c>
      <c r="B3" s="9" t="s">
        <v>107</v>
      </c>
    </row>
    <row r="4" spans="1:6" ht="406" x14ac:dyDescent="0.35">
      <c r="A4" s="76" t="s">
        <v>96</v>
      </c>
      <c r="B4" s="8" t="s">
        <v>100</v>
      </c>
    </row>
    <row r="5" spans="1:6" ht="155" customHeight="1" x14ac:dyDescent="0.35">
      <c r="A5" s="76"/>
      <c r="B5" s="28" t="s">
        <v>84</v>
      </c>
    </row>
    <row r="6" spans="1:6" ht="14.5" customHeight="1" x14ac:dyDescent="0.35">
      <c r="A6" s="79" t="s">
        <v>97</v>
      </c>
      <c r="B6" s="11" t="s">
        <v>75</v>
      </c>
      <c r="C6" s="11" t="s">
        <v>77</v>
      </c>
      <c r="D6" s="11" t="s">
        <v>76</v>
      </c>
      <c r="E6" s="11" t="s">
        <v>78</v>
      </c>
      <c r="F6" s="15" t="s">
        <v>88</v>
      </c>
    </row>
    <row r="7" spans="1:6" x14ac:dyDescent="0.35">
      <c r="A7" s="80"/>
      <c r="B7" s="10" t="s">
        <v>79</v>
      </c>
      <c r="C7" s="10" t="s">
        <v>70</v>
      </c>
      <c r="D7" s="10" t="s">
        <v>80</v>
      </c>
      <c r="E7" s="10" t="s">
        <v>105</v>
      </c>
      <c r="F7" s="16" t="b">
        <v>0</v>
      </c>
    </row>
    <row r="8" spans="1:6" ht="26.5" customHeight="1" x14ac:dyDescent="0.35">
      <c r="A8" s="80"/>
      <c r="B8" s="12" t="s">
        <v>79</v>
      </c>
      <c r="C8" s="12" t="s">
        <v>71</v>
      </c>
      <c r="D8" s="12" t="s">
        <v>61</v>
      </c>
      <c r="E8" s="12" t="s">
        <v>105</v>
      </c>
      <c r="F8" s="17" t="b">
        <v>0</v>
      </c>
    </row>
    <row r="9" spans="1:6" ht="29" x14ac:dyDescent="0.35">
      <c r="A9" s="80"/>
      <c r="B9" s="10" t="s">
        <v>81</v>
      </c>
      <c r="C9" s="10" t="s">
        <v>72</v>
      </c>
      <c r="D9" s="10" t="s">
        <v>61</v>
      </c>
      <c r="E9" s="10" t="s">
        <v>82</v>
      </c>
      <c r="F9" s="16" t="b">
        <v>0</v>
      </c>
    </row>
    <row r="10" spans="1:6" ht="305" customHeight="1" x14ac:dyDescent="0.35">
      <c r="A10" s="80"/>
      <c r="B10" s="12" t="s">
        <v>73</v>
      </c>
      <c r="C10" s="7" t="s">
        <v>74</v>
      </c>
      <c r="D10" s="13" t="s">
        <v>101</v>
      </c>
      <c r="E10" s="12" t="s">
        <v>94</v>
      </c>
      <c r="F10" s="17" t="b">
        <v>0</v>
      </c>
    </row>
    <row r="11" spans="1:6" ht="283" customHeight="1" x14ac:dyDescent="0.35">
      <c r="A11" s="80"/>
      <c r="B11" s="10" t="s">
        <v>73</v>
      </c>
      <c r="C11" s="6" t="s">
        <v>74</v>
      </c>
      <c r="D11" s="14" t="s">
        <v>117</v>
      </c>
      <c r="E11" s="10" t="s">
        <v>83</v>
      </c>
      <c r="F11" s="16" t="b">
        <v>0</v>
      </c>
    </row>
    <row r="12" spans="1:6" ht="283" customHeight="1" x14ac:dyDescent="0.35">
      <c r="A12" s="80"/>
      <c r="B12" s="12" t="s">
        <v>102</v>
      </c>
      <c r="C12" s="30" t="s">
        <v>103</v>
      </c>
      <c r="D12" s="13" t="s">
        <v>118</v>
      </c>
      <c r="E12" s="12" t="s">
        <v>104</v>
      </c>
      <c r="F12" s="17" t="b">
        <v>0</v>
      </c>
    </row>
    <row r="13" spans="1:6" ht="243" customHeight="1" x14ac:dyDescent="0.35">
      <c r="A13" s="80"/>
      <c r="B13" s="14" t="s">
        <v>85</v>
      </c>
      <c r="C13" s="29" t="s">
        <v>62</v>
      </c>
      <c r="D13" s="29" t="s">
        <v>80</v>
      </c>
      <c r="E13" s="14" t="s">
        <v>86</v>
      </c>
      <c r="F13" s="16" t="b">
        <v>0</v>
      </c>
    </row>
    <row r="14" spans="1:6" ht="132.5" customHeight="1" x14ac:dyDescent="0.35">
      <c r="A14" s="80"/>
      <c r="B14" s="13" t="s">
        <v>85</v>
      </c>
      <c r="C14" s="7" t="s">
        <v>120</v>
      </c>
      <c r="D14" s="12" t="s">
        <v>119</v>
      </c>
      <c r="E14" s="12" t="s">
        <v>87</v>
      </c>
      <c r="F14" s="17" t="b">
        <v>0</v>
      </c>
    </row>
    <row r="15" spans="1:6" ht="313.5" customHeight="1" x14ac:dyDescent="0.35">
      <c r="A15" s="81"/>
      <c r="B15" s="14" t="s">
        <v>121</v>
      </c>
      <c r="C15" s="29" t="s">
        <v>122</v>
      </c>
      <c r="D15" s="10" t="s">
        <v>124</v>
      </c>
      <c r="E15" s="10" t="s">
        <v>123</v>
      </c>
      <c r="F15" s="16" t="b">
        <v>0</v>
      </c>
    </row>
    <row r="16" spans="1:6" ht="138" customHeight="1" x14ac:dyDescent="0.35">
      <c r="A16" s="52" t="s">
        <v>98</v>
      </c>
      <c r="B16" s="53" t="s">
        <v>99</v>
      </c>
    </row>
  </sheetData>
  <mergeCells count="3">
    <mergeCell ref="A4:A5"/>
    <mergeCell ref="A1:B1"/>
    <mergeCell ref="A6:A15"/>
  </mergeCells>
  <conditionalFormatting sqref="F7:F15">
    <cfRule type="expression" dxfId="16" priority="1">
      <formula>$F7=TRUE</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1E6E2-B09E-4665-BE8E-0B43F8ECBDDD}">
  <sheetPr>
    <tabColor theme="4" tint="-0.249977111117893"/>
  </sheetPr>
  <dimension ref="A1:J71"/>
  <sheetViews>
    <sheetView zoomScale="85" zoomScaleNormal="85" workbookViewId="0">
      <selection activeCell="B31" sqref="B31"/>
    </sheetView>
  </sheetViews>
  <sheetFormatPr defaultRowHeight="14.5" x14ac:dyDescent="0.35"/>
  <cols>
    <col min="1" max="1" width="49.1796875" style="36" customWidth="1"/>
    <col min="2" max="2" width="26.7265625" style="36" customWidth="1"/>
    <col min="3" max="3" width="17.7265625" style="36" customWidth="1"/>
    <col min="4" max="4" width="19.81640625" style="36" customWidth="1"/>
    <col min="5" max="5" width="16.26953125" style="36" customWidth="1"/>
    <col min="6" max="6" width="14.1796875" style="36" customWidth="1"/>
    <col min="7" max="7" width="16.1796875" style="36" bestFit="1" customWidth="1"/>
    <col min="8" max="8" width="15.1796875" style="36" customWidth="1"/>
    <col min="9" max="9" width="19.453125" style="36" bestFit="1" customWidth="1"/>
    <col min="10" max="10" width="23.54296875" style="36" bestFit="1" customWidth="1"/>
    <col min="11" max="244" width="8.7265625" style="36"/>
    <col min="245" max="245" width="18" style="36" bestFit="1" customWidth="1"/>
    <col min="246" max="246" width="24.81640625" style="36" bestFit="1" customWidth="1"/>
    <col min="247" max="247" width="14.7265625" style="36" bestFit="1" customWidth="1"/>
    <col min="248" max="248" width="17.26953125" style="36" bestFit="1" customWidth="1"/>
    <col min="249" max="249" width="11.81640625" style="36" bestFit="1" customWidth="1"/>
    <col min="250" max="250" width="14.7265625" style="36" bestFit="1" customWidth="1"/>
    <col min="251" max="251" width="16.1796875" style="36" bestFit="1" customWidth="1"/>
    <col min="252" max="252" width="15.1796875" style="36" customWidth="1"/>
    <col min="253" max="253" width="19.453125" style="36" bestFit="1" customWidth="1"/>
    <col min="254" max="254" width="19.1796875" style="36" bestFit="1" customWidth="1"/>
    <col min="255" max="255" width="12.81640625" style="36" customWidth="1"/>
    <col min="256" max="256" width="16.26953125" style="36" bestFit="1" customWidth="1"/>
    <col min="257" max="257" width="20.54296875" style="36" bestFit="1" customWidth="1"/>
    <col min="258" max="258" width="23.54296875" style="36" bestFit="1" customWidth="1"/>
    <col min="259" max="259" width="22.81640625" style="36" bestFit="1" customWidth="1"/>
    <col min="260" max="260" width="12.453125" style="36" bestFit="1" customWidth="1"/>
    <col min="261" max="261" width="16.453125" style="36" bestFit="1" customWidth="1"/>
    <col min="262" max="262" width="18.453125" style="36" bestFit="1" customWidth="1"/>
    <col min="263" max="500" width="8.7265625" style="36"/>
    <col min="501" max="501" width="18" style="36" bestFit="1" customWidth="1"/>
    <col min="502" max="502" width="24.81640625" style="36" bestFit="1" customWidth="1"/>
    <col min="503" max="503" width="14.7265625" style="36" bestFit="1" customWidth="1"/>
    <col min="504" max="504" width="17.26953125" style="36" bestFit="1" customWidth="1"/>
    <col min="505" max="505" width="11.81640625" style="36" bestFit="1" customWidth="1"/>
    <col min="506" max="506" width="14.7265625" style="36" bestFit="1" customWidth="1"/>
    <col min="507" max="507" width="16.1796875" style="36" bestFit="1" customWidth="1"/>
    <col min="508" max="508" width="15.1796875" style="36" customWidth="1"/>
    <col min="509" max="509" width="19.453125" style="36" bestFit="1" customWidth="1"/>
    <col min="510" max="510" width="19.1796875" style="36" bestFit="1" customWidth="1"/>
    <col min="511" max="511" width="12.81640625" style="36" customWidth="1"/>
    <col min="512" max="512" width="16.26953125" style="36" bestFit="1" customWidth="1"/>
    <col min="513" max="513" width="20.54296875" style="36" bestFit="1" customWidth="1"/>
    <col min="514" max="514" width="23.54296875" style="36" bestFit="1" customWidth="1"/>
    <col min="515" max="515" width="22.81640625" style="36" bestFit="1" customWidth="1"/>
    <col min="516" max="516" width="12.453125" style="36" bestFit="1" customWidth="1"/>
    <col min="517" max="517" width="16.453125" style="36" bestFit="1" customWidth="1"/>
    <col min="518" max="518" width="18.453125" style="36" bestFit="1" customWidth="1"/>
    <col min="519" max="756" width="8.7265625" style="36"/>
    <col min="757" max="757" width="18" style="36" bestFit="1" customWidth="1"/>
    <col min="758" max="758" width="24.81640625" style="36" bestFit="1" customWidth="1"/>
    <col min="759" max="759" width="14.7265625" style="36" bestFit="1" customWidth="1"/>
    <col min="760" max="760" width="17.26953125" style="36" bestFit="1" customWidth="1"/>
    <col min="761" max="761" width="11.81640625" style="36" bestFit="1" customWidth="1"/>
    <col min="762" max="762" width="14.7265625" style="36" bestFit="1" customWidth="1"/>
    <col min="763" max="763" width="16.1796875" style="36" bestFit="1" customWidth="1"/>
    <col min="764" max="764" width="15.1796875" style="36" customWidth="1"/>
    <col min="765" max="765" width="19.453125" style="36" bestFit="1" customWidth="1"/>
    <col min="766" max="766" width="19.1796875" style="36" bestFit="1" customWidth="1"/>
    <col min="767" max="767" width="12.81640625" style="36" customWidth="1"/>
    <col min="768" max="768" width="16.26953125" style="36" bestFit="1" customWidth="1"/>
    <col min="769" max="769" width="20.54296875" style="36" bestFit="1" customWidth="1"/>
    <col min="770" max="770" width="23.54296875" style="36" bestFit="1" customWidth="1"/>
    <col min="771" max="771" width="22.81640625" style="36" bestFit="1" customWidth="1"/>
    <col min="772" max="772" width="12.453125" style="36" bestFit="1" customWidth="1"/>
    <col min="773" max="773" width="16.453125" style="36" bestFit="1" customWidth="1"/>
    <col min="774" max="774" width="18.453125" style="36" bestFit="1" customWidth="1"/>
    <col min="775" max="1012" width="8.7265625" style="36"/>
    <col min="1013" max="1013" width="18" style="36" bestFit="1" customWidth="1"/>
    <col min="1014" max="1014" width="24.81640625" style="36" bestFit="1" customWidth="1"/>
    <col min="1015" max="1015" width="14.7265625" style="36" bestFit="1" customWidth="1"/>
    <col min="1016" max="1016" width="17.26953125" style="36" bestFit="1" customWidth="1"/>
    <col min="1017" max="1017" width="11.81640625" style="36" bestFit="1" customWidth="1"/>
    <col min="1018" max="1018" width="14.7265625" style="36" bestFit="1" customWidth="1"/>
    <col min="1019" max="1019" width="16.1796875" style="36" bestFit="1" customWidth="1"/>
    <col min="1020" max="1020" width="15.1796875" style="36" customWidth="1"/>
    <col min="1021" max="1021" width="19.453125" style="36" bestFit="1" customWidth="1"/>
    <col min="1022" max="1022" width="19.1796875" style="36" bestFit="1" customWidth="1"/>
    <col min="1023" max="1023" width="12.81640625" style="36" customWidth="1"/>
    <col min="1024" max="1024" width="16.26953125" style="36" bestFit="1" customWidth="1"/>
    <col min="1025" max="1025" width="20.54296875" style="36" bestFit="1" customWidth="1"/>
    <col min="1026" max="1026" width="23.54296875" style="36" bestFit="1" customWidth="1"/>
    <col min="1027" max="1027" width="22.81640625" style="36" bestFit="1" customWidth="1"/>
    <col min="1028" max="1028" width="12.453125" style="36" bestFit="1" customWidth="1"/>
    <col min="1029" max="1029" width="16.453125" style="36" bestFit="1" customWidth="1"/>
    <col min="1030" max="1030" width="18.453125" style="36" bestFit="1" customWidth="1"/>
    <col min="1031" max="1268" width="8.7265625" style="36"/>
    <col min="1269" max="1269" width="18" style="36" bestFit="1" customWidth="1"/>
    <col min="1270" max="1270" width="24.81640625" style="36" bestFit="1" customWidth="1"/>
    <col min="1271" max="1271" width="14.7265625" style="36" bestFit="1" customWidth="1"/>
    <col min="1272" max="1272" width="17.26953125" style="36" bestFit="1" customWidth="1"/>
    <col min="1273" max="1273" width="11.81640625" style="36" bestFit="1" customWidth="1"/>
    <col min="1274" max="1274" width="14.7265625" style="36" bestFit="1" customWidth="1"/>
    <col min="1275" max="1275" width="16.1796875" style="36" bestFit="1" customWidth="1"/>
    <col min="1276" max="1276" width="15.1796875" style="36" customWidth="1"/>
    <col min="1277" max="1277" width="19.453125" style="36" bestFit="1" customWidth="1"/>
    <col min="1278" max="1278" width="19.1796875" style="36" bestFit="1" customWidth="1"/>
    <col min="1279" max="1279" width="12.81640625" style="36" customWidth="1"/>
    <col min="1280" max="1280" width="16.26953125" style="36" bestFit="1" customWidth="1"/>
    <col min="1281" max="1281" width="20.54296875" style="36" bestFit="1" customWidth="1"/>
    <col min="1282" max="1282" width="23.54296875" style="36" bestFit="1" customWidth="1"/>
    <col min="1283" max="1283" width="22.81640625" style="36" bestFit="1" customWidth="1"/>
    <col min="1284" max="1284" width="12.453125" style="36" bestFit="1" customWidth="1"/>
    <col min="1285" max="1285" width="16.453125" style="36" bestFit="1" customWidth="1"/>
    <col min="1286" max="1286" width="18.453125" style="36" bestFit="1" customWidth="1"/>
    <col min="1287" max="1524" width="8.7265625" style="36"/>
    <col min="1525" max="1525" width="18" style="36" bestFit="1" customWidth="1"/>
    <col min="1526" max="1526" width="24.81640625" style="36" bestFit="1" customWidth="1"/>
    <col min="1527" max="1527" width="14.7265625" style="36" bestFit="1" customWidth="1"/>
    <col min="1528" max="1528" width="17.26953125" style="36" bestFit="1" customWidth="1"/>
    <col min="1529" max="1529" width="11.81640625" style="36" bestFit="1" customWidth="1"/>
    <col min="1530" max="1530" width="14.7265625" style="36" bestFit="1" customWidth="1"/>
    <col min="1531" max="1531" width="16.1796875" style="36" bestFit="1" customWidth="1"/>
    <col min="1532" max="1532" width="15.1796875" style="36" customWidth="1"/>
    <col min="1533" max="1533" width="19.453125" style="36" bestFit="1" customWidth="1"/>
    <col min="1534" max="1534" width="19.1796875" style="36" bestFit="1" customWidth="1"/>
    <col min="1535" max="1535" width="12.81640625" style="36" customWidth="1"/>
    <col min="1536" max="1536" width="16.26953125" style="36" bestFit="1" customWidth="1"/>
    <col min="1537" max="1537" width="20.54296875" style="36" bestFit="1" customWidth="1"/>
    <col min="1538" max="1538" width="23.54296875" style="36" bestFit="1" customWidth="1"/>
    <col min="1539" max="1539" width="22.81640625" style="36" bestFit="1" customWidth="1"/>
    <col min="1540" max="1540" width="12.453125" style="36" bestFit="1" customWidth="1"/>
    <col min="1541" max="1541" width="16.453125" style="36" bestFit="1" customWidth="1"/>
    <col min="1542" max="1542" width="18.453125" style="36" bestFit="1" customWidth="1"/>
    <col min="1543" max="1780" width="8.7265625" style="36"/>
    <col min="1781" max="1781" width="18" style="36" bestFit="1" customWidth="1"/>
    <col min="1782" max="1782" width="24.81640625" style="36" bestFit="1" customWidth="1"/>
    <col min="1783" max="1783" width="14.7265625" style="36" bestFit="1" customWidth="1"/>
    <col min="1784" max="1784" width="17.26953125" style="36" bestFit="1" customWidth="1"/>
    <col min="1785" max="1785" width="11.81640625" style="36" bestFit="1" customWidth="1"/>
    <col min="1786" max="1786" width="14.7265625" style="36" bestFit="1" customWidth="1"/>
    <col min="1787" max="1787" width="16.1796875" style="36" bestFit="1" customWidth="1"/>
    <col min="1788" max="1788" width="15.1796875" style="36" customWidth="1"/>
    <col min="1789" max="1789" width="19.453125" style="36" bestFit="1" customWidth="1"/>
    <col min="1790" max="1790" width="19.1796875" style="36" bestFit="1" customWidth="1"/>
    <col min="1791" max="1791" width="12.81640625" style="36" customWidth="1"/>
    <col min="1792" max="1792" width="16.26953125" style="36" bestFit="1" customWidth="1"/>
    <col min="1793" max="1793" width="20.54296875" style="36" bestFit="1" customWidth="1"/>
    <col min="1794" max="1794" width="23.54296875" style="36" bestFit="1" customWidth="1"/>
    <col min="1795" max="1795" width="22.81640625" style="36" bestFit="1" customWidth="1"/>
    <col min="1796" max="1796" width="12.453125" style="36" bestFit="1" customWidth="1"/>
    <col min="1797" max="1797" width="16.453125" style="36" bestFit="1" customWidth="1"/>
    <col min="1798" max="1798" width="18.453125" style="36" bestFit="1" customWidth="1"/>
    <col min="1799" max="2036" width="8.7265625" style="36"/>
    <col min="2037" max="2037" width="18" style="36" bestFit="1" customWidth="1"/>
    <col min="2038" max="2038" width="24.81640625" style="36" bestFit="1" customWidth="1"/>
    <col min="2039" max="2039" width="14.7265625" style="36" bestFit="1" customWidth="1"/>
    <col min="2040" max="2040" width="17.26953125" style="36" bestFit="1" customWidth="1"/>
    <col min="2041" max="2041" width="11.81640625" style="36" bestFit="1" customWidth="1"/>
    <col min="2042" max="2042" width="14.7265625" style="36" bestFit="1" customWidth="1"/>
    <col min="2043" max="2043" width="16.1796875" style="36" bestFit="1" customWidth="1"/>
    <col min="2044" max="2044" width="15.1796875" style="36" customWidth="1"/>
    <col min="2045" max="2045" width="19.453125" style="36" bestFit="1" customWidth="1"/>
    <col min="2046" max="2046" width="19.1796875" style="36" bestFit="1" customWidth="1"/>
    <col min="2047" max="2047" width="12.81640625" style="36" customWidth="1"/>
    <col min="2048" max="2048" width="16.26953125" style="36" bestFit="1" customWidth="1"/>
    <col min="2049" max="2049" width="20.54296875" style="36" bestFit="1" customWidth="1"/>
    <col min="2050" max="2050" width="23.54296875" style="36" bestFit="1" customWidth="1"/>
    <col min="2051" max="2051" width="22.81640625" style="36" bestFit="1" customWidth="1"/>
    <col min="2052" max="2052" width="12.453125" style="36" bestFit="1" customWidth="1"/>
    <col min="2053" max="2053" width="16.453125" style="36" bestFit="1" customWidth="1"/>
    <col min="2054" max="2054" width="18.453125" style="36" bestFit="1" customWidth="1"/>
    <col min="2055" max="2292" width="8.7265625" style="36"/>
    <col min="2293" max="2293" width="18" style="36" bestFit="1" customWidth="1"/>
    <col min="2294" max="2294" width="24.81640625" style="36" bestFit="1" customWidth="1"/>
    <col min="2295" max="2295" width="14.7265625" style="36" bestFit="1" customWidth="1"/>
    <col min="2296" max="2296" width="17.26953125" style="36" bestFit="1" customWidth="1"/>
    <col min="2297" max="2297" width="11.81640625" style="36" bestFit="1" customWidth="1"/>
    <col min="2298" max="2298" width="14.7265625" style="36" bestFit="1" customWidth="1"/>
    <col min="2299" max="2299" width="16.1796875" style="36" bestFit="1" customWidth="1"/>
    <col min="2300" max="2300" width="15.1796875" style="36" customWidth="1"/>
    <col min="2301" max="2301" width="19.453125" style="36" bestFit="1" customWidth="1"/>
    <col min="2302" max="2302" width="19.1796875" style="36" bestFit="1" customWidth="1"/>
    <col min="2303" max="2303" width="12.81640625" style="36" customWidth="1"/>
    <col min="2304" max="2304" width="16.26953125" style="36" bestFit="1" customWidth="1"/>
    <col min="2305" max="2305" width="20.54296875" style="36" bestFit="1" customWidth="1"/>
    <col min="2306" max="2306" width="23.54296875" style="36" bestFit="1" customWidth="1"/>
    <col min="2307" max="2307" width="22.81640625" style="36" bestFit="1" customWidth="1"/>
    <col min="2308" max="2308" width="12.453125" style="36" bestFit="1" customWidth="1"/>
    <col min="2309" max="2309" width="16.453125" style="36" bestFit="1" customWidth="1"/>
    <col min="2310" max="2310" width="18.453125" style="36" bestFit="1" customWidth="1"/>
    <col min="2311" max="2548" width="8.7265625" style="36"/>
    <col min="2549" max="2549" width="18" style="36" bestFit="1" customWidth="1"/>
    <col min="2550" max="2550" width="24.81640625" style="36" bestFit="1" customWidth="1"/>
    <col min="2551" max="2551" width="14.7265625" style="36" bestFit="1" customWidth="1"/>
    <col min="2552" max="2552" width="17.26953125" style="36" bestFit="1" customWidth="1"/>
    <col min="2553" max="2553" width="11.81640625" style="36" bestFit="1" customWidth="1"/>
    <col min="2554" max="2554" width="14.7265625" style="36" bestFit="1" customWidth="1"/>
    <col min="2555" max="2555" width="16.1796875" style="36" bestFit="1" customWidth="1"/>
    <col min="2556" max="2556" width="15.1796875" style="36" customWidth="1"/>
    <col min="2557" max="2557" width="19.453125" style="36" bestFit="1" customWidth="1"/>
    <col min="2558" max="2558" width="19.1796875" style="36" bestFit="1" customWidth="1"/>
    <col min="2559" max="2559" width="12.81640625" style="36" customWidth="1"/>
    <col min="2560" max="2560" width="16.26953125" style="36" bestFit="1" customWidth="1"/>
    <col min="2561" max="2561" width="20.54296875" style="36" bestFit="1" customWidth="1"/>
    <col min="2562" max="2562" width="23.54296875" style="36" bestFit="1" customWidth="1"/>
    <col min="2563" max="2563" width="22.81640625" style="36" bestFit="1" customWidth="1"/>
    <col min="2564" max="2564" width="12.453125" style="36" bestFit="1" customWidth="1"/>
    <col min="2565" max="2565" width="16.453125" style="36" bestFit="1" customWidth="1"/>
    <col min="2566" max="2566" width="18.453125" style="36" bestFit="1" customWidth="1"/>
    <col min="2567" max="2804" width="8.7265625" style="36"/>
    <col min="2805" max="2805" width="18" style="36" bestFit="1" customWidth="1"/>
    <col min="2806" max="2806" width="24.81640625" style="36" bestFit="1" customWidth="1"/>
    <col min="2807" max="2807" width="14.7265625" style="36" bestFit="1" customWidth="1"/>
    <col min="2808" max="2808" width="17.26953125" style="36" bestFit="1" customWidth="1"/>
    <col min="2809" max="2809" width="11.81640625" style="36" bestFit="1" customWidth="1"/>
    <col min="2810" max="2810" width="14.7265625" style="36" bestFit="1" customWidth="1"/>
    <col min="2811" max="2811" width="16.1796875" style="36" bestFit="1" customWidth="1"/>
    <col min="2812" max="2812" width="15.1796875" style="36" customWidth="1"/>
    <col min="2813" max="2813" width="19.453125" style="36" bestFit="1" customWidth="1"/>
    <col min="2814" max="2814" width="19.1796875" style="36" bestFit="1" customWidth="1"/>
    <col min="2815" max="2815" width="12.81640625" style="36" customWidth="1"/>
    <col min="2816" max="2816" width="16.26953125" style="36" bestFit="1" customWidth="1"/>
    <col min="2817" max="2817" width="20.54296875" style="36" bestFit="1" customWidth="1"/>
    <col min="2818" max="2818" width="23.54296875" style="36" bestFit="1" customWidth="1"/>
    <col min="2819" max="2819" width="22.81640625" style="36" bestFit="1" customWidth="1"/>
    <col min="2820" max="2820" width="12.453125" style="36" bestFit="1" customWidth="1"/>
    <col min="2821" max="2821" width="16.453125" style="36" bestFit="1" customWidth="1"/>
    <col min="2822" max="2822" width="18.453125" style="36" bestFit="1" customWidth="1"/>
    <col min="2823" max="3060" width="8.7265625" style="36"/>
    <col min="3061" max="3061" width="18" style="36" bestFit="1" customWidth="1"/>
    <col min="3062" max="3062" width="24.81640625" style="36" bestFit="1" customWidth="1"/>
    <col min="3063" max="3063" width="14.7265625" style="36" bestFit="1" customWidth="1"/>
    <col min="3064" max="3064" width="17.26953125" style="36" bestFit="1" customWidth="1"/>
    <col min="3065" max="3065" width="11.81640625" style="36" bestFit="1" customWidth="1"/>
    <col min="3066" max="3066" width="14.7265625" style="36" bestFit="1" customWidth="1"/>
    <col min="3067" max="3067" width="16.1796875" style="36" bestFit="1" customWidth="1"/>
    <col min="3068" max="3068" width="15.1796875" style="36" customWidth="1"/>
    <col min="3069" max="3069" width="19.453125" style="36" bestFit="1" customWidth="1"/>
    <col min="3070" max="3070" width="19.1796875" style="36" bestFit="1" customWidth="1"/>
    <col min="3071" max="3071" width="12.81640625" style="36" customWidth="1"/>
    <col min="3072" max="3072" width="16.26953125" style="36" bestFit="1" customWidth="1"/>
    <col min="3073" max="3073" width="20.54296875" style="36" bestFit="1" customWidth="1"/>
    <col min="3074" max="3074" width="23.54296875" style="36" bestFit="1" customWidth="1"/>
    <col min="3075" max="3075" width="22.81640625" style="36" bestFit="1" customWidth="1"/>
    <col min="3076" max="3076" width="12.453125" style="36" bestFit="1" customWidth="1"/>
    <col min="3077" max="3077" width="16.453125" style="36" bestFit="1" customWidth="1"/>
    <col min="3078" max="3078" width="18.453125" style="36" bestFit="1" customWidth="1"/>
    <col min="3079" max="3316" width="8.7265625" style="36"/>
    <col min="3317" max="3317" width="18" style="36" bestFit="1" customWidth="1"/>
    <col min="3318" max="3318" width="24.81640625" style="36" bestFit="1" customWidth="1"/>
    <col min="3319" max="3319" width="14.7265625" style="36" bestFit="1" customWidth="1"/>
    <col min="3320" max="3320" width="17.26953125" style="36" bestFit="1" customWidth="1"/>
    <col min="3321" max="3321" width="11.81640625" style="36" bestFit="1" customWidth="1"/>
    <col min="3322" max="3322" width="14.7265625" style="36" bestFit="1" customWidth="1"/>
    <col min="3323" max="3323" width="16.1796875" style="36" bestFit="1" customWidth="1"/>
    <col min="3324" max="3324" width="15.1796875" style="36" customWidth="1"/>
    <col min="3325" max="3325" width="19.453125" style="36" bestFit="1" customWidth="1"/>
    <col min="3326" max="3326" width="19.1796875" style="36" bestFit="1" customWidth="1"/>
    <col min="3327" max="3327" width="12.81640625" style="36" customWidth="1"/>
    <col min="3328" max="3328" width="16.26953125" style="36" bestFit="1" customWidth="1"/>
    <col min="3329" max="3329" width="20.54296875" style="36" bestFit="1" customWidth="1"/>
    <col min="3330" max="3330" width="23.54296875" style="36" bestFit="1" customWidth="1"/>
    <col min="3331" max="3331" width="22.81640625" style="36" bestFit="1" customWidth="1"/>
    <col min="3332" max="3332" width="12.453125" style="36" bestFit="1" customWidth="1"/>
    <col min="3333" max="3333" width="16.453125" style="36" bestFit="1" customWidth="1"/>
    <col min="3334" max="3334" width="18.453125" style="36" bestFit="1" customWidth="1"/>
    <col min="3335" max="3572" width="8.7265625" style="36"/>
    <col min="3573" max="3573" width="18" style="36" bestFit="1" customWidth="1"/>
    <col min="3574" max="3574" width="24.81640625" style="36" bestFit="1" customWidth="1"/>
    <col min="3575" max="3575" width="14.7265625" style="36" bestFit="1" customWidth="1"/>
    <col min="3576" max="3576" width="17.26953125" style="36" bestFit="1" customWidth="1"/>
    <col min="3577" max="3577" width="11.81640625" style="36" bestFit="1" customWidth="1"/>
    <col min="3578" max="3578" width="14.7265625" style="36" bestFit="1" customWidth="1"/>
    <col min="3579" max="3579" width="16.1796875" style="36" bestFit="1" customWidth="1"/>
    <col min="3580" max="3580" width="15.1796875" style="36" customWidth="1"/>
    <col min="3581" max="3581" width="19.453125" style="36" bestFit="1" customWidth="1"/>
    <col min="3582" max="3582" width="19.1796875" style="36" bestFit="1" customWidth="1"/>
    <col min="3583" max="3583" width="12.81640625" style="36" customWidth="1"/>
    <col min="3584" max="3584" width="16.26953125" style="36" bestFit="1" customWidth="1"/>
    <col min="3585" max="3585" width="20.54296875" style="36" bestFit="1" customWidth="1"/>
    <col min="3586" max="3586" width="23.54296875" style="36" bestFit="1" customWidth="1"/>
    <col min="3587" max="3587" width="22.81640625" style="36" bestFit="1" customWidth="1"/>
    <col min="3588" max="3588" width="12.453125" style="36" bestFit="1" customWidth="1"/>
    <col min="3589" max="3589" width="16.453125" style="36" bestFit="1" customWidth="1"/>
    <col min="3590" max="3590" width="18.453125" style="36" bestFit="1" customWidth="1"/>
    <col min="3591" max="3828" width="8.7265625" style="36"/>
    <col min="3829" max="3829" width="18" style="36" bestFit="1" customWidth="1"/>
    <col min="3830" max="3830" width="24.81640625" style="36" bestFit="1" customWidth="1"/>
    <col min="3831" max="3831" width="14.7265625" style="36" bestFit="1" customWidth="1"/>
    <col min="3832" max="3832" width="17.26953125" style="36" bestFit="1" customWidth="1"/>
    <col min="3833" max="3833" width="11.81640625" style="36" bestFit="1" customWidth="1"/>
    <col min="3834" max="3834" width="14.7265625" style="36" bestFit="1" customWidth="1"/>
    <col min="3835" max="3835" width="16.1796875" style="36" bestFit="1" customWidth="1"/>
    <col min="3836" max="3836" width="15.1796875" style="36" customWidth="1"/>
    <col min="3837" max="3837" width="19.453125" style="36" bestFit="1" customWidth="1"/>
    <col min="3838" max="3838" width="19.1796875" style="36" bestFit="1" customWidth="1"/>
    <col min="3839" max="3839" width="12.81640625" style="36" customWidth="1"/>
    <col min="3840" max="3840" width="16.26953125" style="36" bestFit="1" customWidth="1"/>
    <col min="3841" max="3841" width="20.54296875" style="36" bestFit="1" customWidth="1"/>
    <col min="3842" max="3842" width="23.54296875" style="36" bestFit="1" customWidth="1"/>
    <col min="3843" max="3843" width="22.81640625" style="36" bestFit="1" customWidth="1"/>
    <col min="3844" max="3844" width="12.453125" style="36" bestFit="1" customWidth="1"/>
    <col min="3845" max="3845" width="16.453125" style="36" bestFit="1" customWidth="1"/>
    <col min="3846" max="3846" width="18.453125" style="36" bestFit="1" customWidth="1"/>
    <col min="3847" max="4084" width="8.7265625" style="36"/>
    <col min="4085" max="4085" width="18" style="36" bestFit="1" customWidth="1"/>
    <col min="4086" max="4086" width="24.81640625" style="36" bestFit="1" customWidth="1"/>
    <col min="4087" max="4087" width="14.7265625" style="36" bestFit="1" customWidth="1"/>
    <col min="4088" max="4088" width="17.26953125" style="36" bestFit="1" customWidth="1"/>
    <col min="4089" max="4089" width="11.81640625" style="36" bestFit="1" customWidth="1"/>
    <col min="4090" max="4090" width="14.7265625" style="36" bestFit="1" customWidth="1"/>
    <col min="4091" max="4091" width="16.1796875" style="36" bestFit="1" customWidth="1"/>
    <col min="4092" max="4092" width="15.1796875" style="36" customWidth="1"/>
    <col min="4093" max="4093" width="19.453125" style="36" bestFit="1" customWidth="1"/>
    <col min="4094" max="4094" width="19.1796875" style="36" bestFit="1" customWidth="1"/>
    <col min="4095" max="4095" width="12.81640625" style="36" customWidth="1"/>
    <col min="4096" max="4096" width="16.26953125" style="36" bestFit="1" customWidth="1"/>
    <col min="4097" max="4097" width="20.54296875" style="36" bestFit="1" customWidth="1"/>
    <col min="4098" max="4098" width="23.54296875" style="36" bestFit="1" customWidth="1"/>
    <col min="4099" max="4099" width="22.81640625" style="36" bestFit="1" customWidth="1"/>
    <col min="4100" max="4100" width="12.453125" style="36" bestFit="1" customWidth="1"/>
    <col min="4101" max="4101" width="16.453125" style="36" bestFit="1" customWidth="1"/>
    <col min="4102" max="4102" width="18.453125" style="36" bestFit="1" customWidth="1"/>
    <col min="4103" max="4340" width="8.7265625" style="36"/>
    <col min="4341" max="4341" width="18" style="36" bestFit="1" customWidth="1"/>
    <col min="4342" max="4342" width="24.81640625" style="36" bestFit="1" customWidth="1"/>
    <col min="4343" max="4343" width="14.7265625" style="36" bestFit="1" customWidth="1"/>
    <col min="4344" max="4344" width="17.26953125" style="36" bestFit="1" customWidth="1"/>
    <col min="4345" max="4345" width="11.81640625" style="36" bestFit="1" customWidth="1"/>
    <col min="4346" max="4346" width="14.7265625" style="36" bestFit="1" customWidth="1"/>
    <col min="4347" max="4347" width="16.1796875" style="36" bestFit="1" customWidth="1"/>
    <col min="4348" max="4348" width="15.1796875" style="36" customWidth="1"/>
    <col min="4349" max="4349" width="19.453125" style="36" bestFit="1" customWidth="1"/>
    <col min="4350" max="4350" width="19.1796875" style="36" bestFit="1" customWidth="1"/>
    <col min="4351" max="4351" width="12.81640625" style="36" customWidth="1"/>
    <col min="4352" max="4352" width="16.26953125" style="36" bestFit="1" customWidth="1"/>
    <col min="4353" max="4353" width="20.54296875" style="36" bestFit="1" customWidth="1"/>
    <col min="4354" max="4354" width="23.54296875" style="36" bestFit="1" customWidth="1"/>
    <col min="4355" max="4355" width="22.81640625" style="36" bestFit="1" customWidth="1"/>
    <col min="4356" max="4356" width="12.453125" style="36" bestFit="1" customWidth="1"/>
    <col min="4357" max="4357" width="16.453125" style="36" bestFit="1" customWidth="1"/>
    <col min="4358" max="4358" width="18.453125" style="36" bestFit="1" customWidth="1"/>
    <col min="4359" max="4596" width="8.7265625" style="36"/>
    <col min="4597" max="4597" width="18" style="36" bestFit="1" customWidth="1"/>
    <col min="4598" max="4598" width="24.81640625" style="36" bestFit="1" customWidth="1"/>
    <col min="4599" max="4599" width="14.7265625" style="36" bestFit="1" customWidth="1"/>
    <col min="4600" max="4600" width="17.26953125" style="36" bestFit="1" customWidth="1"/>
    <col min="4601" max="4601" width="11.81640625" style="36" bestFit="1" customWidth="1"/>
    <col min="4602" max="4602" width="14.7265625" style="36" bestFit="1" customWidth="1"/>
    <col min="4603" max="4603" width="16.1796875" style="36" bestFit="1" customWidth="1"/>
    <col min="4604" max="4604" width="15.1796875" style="36" customWidth="1"/>
    <col min="4605" max="4605" width="19.453125" style="36" bestFit="1" customWidth="1"/>
    <col min="4606" max="4606" width="19.1796875" style="36" bestFit="1" customWidth="1"/>
    <col min="4607" max="4607" width="12.81640625" style="36" customWidth="1"/>
    <col min="4608" max="4608" width="16.26953125" style="36" bestFit="1" customWidth="1"/>
    <col min="4609" max="4609" width="20.54296875" style="36" bestFit="1" customWidth="1"/>
    <col min="4610" max="4610" width="23.54296875" style="36" bestFit="1" customWidth="1"/>
    <col min="4611" max="4611" width="22.81640625" style="36" bestFit="1" customWidth="1"/>
    <col min="4612" max="4612" width="12.453125" style="36" bestFit="1" customWidth="1"/>
    <col min="4613" max="4613" width="16.453125" style="36" bestFit="1" customWidth="1"/>
    <col min="4614" max="4614" width="18.453125" style="36" bestFit="1" customWidth="1"/>
    <col min="4615" max="4852" width="8.7265625" style="36"/>
    <col min="4853" max="4853" width="18" style="36" bestFit="1" customWidth="1"/>
    <col min="4854" max="4854" width="24.81640625" style="36" bestFit="1" customWidth="1"/>
    <col min="4855" max="4855" width="14.7265625" style="36" bestFit="1" customWidth="1"/>
    <col min="4856" max="4856" width="17.26953125" style="36" bestFit="1" customWidth="1"/>
    <col min="4857" max="4857" width="11.81640625" style="36" bestFit="1" customWidth="1"/>
    <col min="4858" max="4858" width="14.7265625" style="36" bestFit="1" customWidth="1"/>
    <col min="4859" max="4859" width="16.1796875" style="36" bestFit="1" customWidth="1"/>
    <col min="4860" max="4860" width="15.1796875" style="36" customWidth="1"/>
    <col min="4861" max="4861" width="19.453125" style="36" bestFit="1" customWidth="1"/>
    <col min="4862" max="4862" width="19.1796875" style="36" bestFit="1" customWidth="1"/>
    <col min="4863" max="4863" width="12.81640625" style="36" customWidth="1"/>
    <col min="4864" max="4864" width="16.26953125" style="36" bestFit="1" customWidth="1"/>
    <col min="4865" max="4865" width="20.54296875" style="36" bestFit="1" customWidth="1"/>
    <col min="4866" max="4866" width="23.54296875" style="36" bestFit="1" customWidth="1"/>
    <col min="4867" max="4867" width="22.81640625" style="36" bestFit="1" customWidth="1"/>
    <col min="4868" max="4868" width="12.453125" style="36" bestFit="1" customWidth="1"/>
    <col min="4869" max="4869" width="16.453125" style="36" bestFit="1" customWidth="1"/>
    <col min="4870" max="4870" width="18.453125" style="36" bestFit="1" customWidth="1"/>
    <col min="4871" max="5108" width="8.7265625" style="36"/>
    <col min="5109" max="5109" width="18" style="36" bestFit="1" customWidth="1"/>
    <col min="5110" max="5110" width="24.81640625" style="36" bestFit="1" customWidth="1"/>
    <col min="5111" max="5111" width="14.7265625" style="36" bestFit="1" customWidth="1"/>
    <col min="5112" max="5112" width="17.26953125" style="36" bestFit="1" customWidth="1"/>
    <col min="5113" max="5113" width="11.81640625" style="36" bestFit="1" customWidth="1"/>
    <col min="5114" max="5114" width="14.7265625" style="36" bestFit="1" customWidth="1"/>
    <col min="5115" max="5115" width="16.1796875" style="36" bestFit="1" customWidth="1"/>
    <col min="5116" max="5116" width="15.1796875" style="36" customWidth="1"/>
    <col min="5117" max="5117" width="19.453125" style="36" bestFit="1" customWidth="1"/>
    <col min="5118" max="5118" width="19.1796875" style="36" bestFit="1" customWidth="1"/>
    <col min="5119" max="5119" width="12.81640625" style="36" customWidth="1"/>
    <col min="5120" max="5120" width="16.26953125" style="36" bestFit="1" customWidth="1"/>
    <col min="5121" max="5121" width="20.54296875" style="36" bestFit="1" customWidth="1"/>
    <col min="5122" max="5122" width="23.54296875" style="36" bestFit="1" customWidth="1"/>
    <col min="5123" max="5123" width="22.81640625" style="36" bestFit="1" customWidth="1"/>
    <col min="5124" max="5124" width="12.453125" style="36" bestFit="1" customWidth="1"/>
    <col min="5125" max="5125" width="16.453125" style="36" bestFit="1" customWidth="1"/>
    <col min="5126" max="5126" width="18.453125" style="36" bestFit="1" customWidth="1"/>
    <col min="5127" max="5364" width="8.7265625" style="36"/>
    <col min="5365" max="5365" width="18" style="36" bestFit="1" customWidth="1"/>
    <col min="5366" max="5366" width="24.81640625" style="36" bestFit="1" customWidth="1"/>
    <col min="5367" max="5367" width="14.7265625" style="36" bestFit="1" customWidth="1"/>
    <col min="5368" max="5368" width="17.26953125" style="36" bestFit="1" customWidth="1"/>
    <col min="5369" max="5369" width="11.81640625" style="36" bestFit="1" customWidth="1"/>
    <col min="5370" max="5370" width="14.7265625" style="36" bestFit="1" customWidth="1"/>
    <col min="5371" max="5371" width="16.1796875" style="36" bestFit="1" customWidth="1"/>
    <col min="5372" max="5372" width="15.1796875" style="36" customWidth="1"/>
    <col min="5373" max="5373" width="19.453125" style="36" bestFit="1" customWidth="1"/>
    <col min="5374" max="5374" width="19.1796875" style="36" bestFit="1" customWidth="1"/>
    <col min="5375" max="5375" width="12.81640625" style="36" customWidth="1"/>
    <col min="5376" max="5376" width="16.26953125" style="36" bestFit="1" customWidth="1"/>
    <col min="5377" max="5377" width="20.54296875" style="36" bestFit="1" customWidth="1"/>
    <col min="5378" max="5378" width="23.54296875" style="36" bestFit="1" customWidth="1"/>
    <col min="5379" max="5379" width="22.81640625" style="36" bestFit="1" customWidth="1"/>
    <col min="5380" max="5380" width="12.453125" style="36" bestFit="1" customWidth="1"/>
    <col min="5381" max="5381" width="16.453125" style="36" bestFit="1" customWidth="1"/>
    <col min="5382" max="5382" width="18.453125" style="36" bestFit="1" customWidth="1"/>
    <col min="5383" max="5620" width="8.7265625" style="36"/>
    <col min="5621" max="5621" width="18" style="36" bestFit="1" customWidth="1"/>
    <col min="5622" max="5622" width="24.81640625" style="36" bestFit="1" customWidth="1"/>
    <col min="5623" max="5623" width="14.7265625" style="36" bestFit="1" customWidth="1"/>
    <col min="5624" max="5624" width="17.26953125" style="36" bestFit="1" customWidth="1"/>
    <col min="5625" max="5625" width="11.81640625" style="36" bestFit="1" customWidth="1"/>
    <col min="5626" max="5626" width="14.7265625" style="36" bestFit="1" customWidth="1"/>
    <col min="5627" max="5627" width="16.1796875" style="36" bestFit="1" customWidth="1"/>
    <col min="5628" max="5628" width="15.1796875" style="36" customWidth="1"/>
    <col min="5629" max="5629" width="19.453125" style="36" bestFit="1" customWidth="1"/>
    <col min="5630" max="5630" width="19.1796875" style="36" bestFit="1" customWidth="1"/>
    <col min="5631" max="5631" width="12.81640625" style="36" customWidth="1"/>
    <col min="5632" max="5632" width="16.26953125" style="36" bestFit="1" customWidth="1"/>
    <col min="5633" max="5633" width="20.54296875" style="36" bestFit="1" customWidth="1"/>
    <col min="5634" max="5634" width="23.54296875" style="36" bestFit="1" customWidth="1"/>
    <col min="5635" max="5635" width="22.81640625" style="36" bestFit="1" customWidth="1"/>
    <col min="5636" max="5636" width="12.453125" style="36" bestFit="1" customWidth="1"/>
    <col min="5637" max="5637" width="16.453125" style="36" bestFit="1" customWidth="1"/>
    <col min="5638" max="5638" width="18.453125" style="36" bestFit="1" customWidth="1"/>
    <col min="5639" max="5876" width="8.7265625" style="36"/>
    <col min="5877" max="5877" width="18" style="36" bestFit="1" customWidth="1"/>
    <col min="5878" max="5878" width="24.81640625" style="36" bestFit="1" customWidth="1"/>
    <col min="5879" max="5879" width="14.7265625" style="36" bestFit="1" customWidth="1"/>
    <col min="5880" max="5880" width="17.26953125" style="36" bestFit="1" customWidth="1"/>
    <col min="5881" max="5881" width="11.81640625" style="36" bestFit="1" customWidth="1"/>
    <col min="5882" max="5882" width="14.7265625" style="36" bestFit="1" customWidth="1"/>
    <col min="5883" max="5883" width="16.1796875" style="36" bestFit="1" customWidth="1"/>
    <col min="5884" max="5884" width="15.1796875" style="36" customWidth="1"/>
    <col min="5885" max="5885" width="19.453125" style="36" bestFit="1" customWidth="1"/>
    <col min="5886" max="5886" width="19.1796875" style="36" bestFit="1" customWidth="1"/>
    <col min="5887" max="5887" width="12.81640625" style="36" customWidth="1"/>
    <col min="5888" max="5888" width="16.26953125" style="36" bestFit="1" customWidth="1"/>
    <col min="5889" max="5889" width="20.54296875" style="36" bestFit="1" customWidth="1"/>
    <col min="5890" max="5890" width="23.54296875" style="36" bestFit="1" customWidth="1"/>
    <col min="5891" max="5891" width="22.81640625" style="36" bestFit="1" customWidth="1"/>
    <col min="5892" max="5892" width="12.453125" style="36" bestFit="1" customWidth="1"/>
    <col min="5893" max="5893" width="16.453125" style="36" bestFit="1" customWidth="1"/>
    <col min="5894" max="5894" width="18.453125" style="36" bestFit="1" customWidth="1"/>
    <col min="5895" max="6132" width="8.7265625" style="36"/>
    <col min="6133" max="6133" width="18" style="36" bestFit="1" customWidth="1"/>
    <col min="6134" max="6134" width="24.81640625" style="36" bestFit="1" customWidth="1"/>
    <col min="6135" max="6135" width="14.7265625" style="36" bestFit="1" customWidth="1"/>
    <col min="6136" max="6136" width="17.26953125" style="36" bestFit="1" customWidth="1"/>
    <col min="6137" max="6137" width="11.81640625" style="36" bestFit="1" customWidth="1"/>
    <col min="6138" max="6138" width="14.7265625" style="36" bestFit="1" customWidth="1"/>
    <col min="6139" max="6139" width="16.1796875" style="36" bestFit="1" customWidth="1"/>
    <col min="6140" max="6140" width="15.1796875" style="36" customWidth="1"/>
    <col min="6141" max="6141" width="19.453125" style="36" bestFit="1" customWidth="1"/>
    <col min="6142" max="6142" width="19.1796875" style="36" bestFit="1" customWidth="1"/>
    <col min="6143" max="6143" width="12.81640625" style="36" customWidth="1"/>
    <col min="6144" max="6144" width="16.26953125" style="36" bestFit="1" customWidth="1"/>
    <col min="6145" max="6145" width="20.54296875" style="36" bestFit="1" customWidth="1"/>
    <col min="6146" max="6146" width="23.54296875" style="36" bestFit="1" customWidth="1"/>
    <col min="6147" max="6147" width="22.81640625" style="36" bestFit="1" customWidth="1"/>
    <col min="6148" max="6148" width="12.453125" style="36" bestFit="1" customWidth="1"/>
    <col min="6149" max="6149" width="16.453125" style="36" bestFit="1" customWidth="1"/>
    <col min="6150" max="6150" width="18.453125" style="36" bestFit="1" customWidth="1"/>
    <col min="6151" max="6388" width="8.7265625" style="36"/>
    <col min="6389" max="6389" width="18" style="36" bestFit="1" customWidth="1"/>
    <col min="6390" max="6390" width="24.81640625" style="36" bestFit="1" customWidth="1"/>
    <col min="6391" max="6391" width="14.7265625" style="36" bestFit="1" customWidth="1"/>
    <col min="6392" max="6392" width="17.26953125" style="36" bestFit="1" customWidth="1"/>
    <col min="6393" max="6393" width="11.81640625" style="36" bestFit="1" customWidth="1"/>
    <col min="6394" max="6394" width="14.7265625" style="36" bestFit="1" customWidth="1"/>
    <col min="6395" max="6395" width="16.1796875" style="36" bestFit="1" customWidth="1"/>
    <col min="6396" max="6396" width="15.1796875" style="36" customWidth="1"/>
    <col min="6397" max="6397" width="19.453125" style="36" bestFit="1" customWidth="1"/>
    <col min="6398" max="6398" width="19.1796875" style="36" bestFit="1" customWidth="1"/>
    <col min="6399" max="6399" width="12.81640625" style="36" customWidth="1"/>
    <col min="6400" max="6400" width="16.26953125" style="36" bestFit="1" customWidth="1"/>
    <col min="6401" max="6401" width="20.54296875" style="36" bestFit="1" customWidth="1"/>
    <col min="6402" max="6402" width="23.54296875" style="36" bestFit="1" customWidth="1"/>
    <col min="6403" max="6403" width="22.81640625" style="36" bestFit="1" customWidth="1"/>
    <col min="6404" max="6404" width="12.453125" style="36" bestFit="1" customWidth="1"/>
    <col min="6405" max="6405" width="16.453125" style="36" bestFit="1" customWidth="1"/>
    <col min="6406" max="6406" width="18.453125" style="36" bestFit="1" customWidth="1"/>
    <col min="6407" max="6644" width="8.7265625" style="36"/>
    <col min="6645" max="6645" width="18" style="36" bestFit="1" customWidth="1"/>
    <col min="6646" max="6646" width="24.81640625" style="36" bestFit="1" customWidth="1"/>
    <col min="6647" max="6647" width="14.7265625" style="36" bestFit="1" customWidth="1"/>
    <col min="6648" max="6648" width="17.26953125" style="36" bestFit="1" customWidth="1"/>
    <col min="6649" max="6649" width="11.81640625" style="36" bestFit="1" customWidth="1"/>
    <col min="6650" max="6650" width="14.7265625" style="36" bestFit="1" customWidth="1"/>
    <col min="6651" max="6651" width="16.1796875" style="36" bestFit="1" customWidth="1"/>
    <col min="6652" max="6652" width="15.1796875" style="36" customWidth="1"/>
    <col min="6653" max="6653" width="19.453125" style="36" bestFit="1" customWidth="1"/>
    <col min="6654" max="6654" width="19.1796875" style="36" bestFit="1" customWidth="1"/>
    <col min="6655" max="6655" width="12.81640625" style="36" customWidth="1"/>
    <col min="6656" max="6656" width="16.26953125" style="36" bestFit="1" customWidth="1"/>
    <col min="6657" max="6657" width="20.54296875" style="36" bestFit="1" customWidth="1"/>
    <col min="6658" max="6658" width="23.54296875" style="36" bestFit="1" customWidth="1"/>
    <col min="6659" max="6659" width="22.81640625" style="36" bestFit="1" customWidth="1"/>
    <col min="6660" max="6660" width="12.453125" style="36" bestFit="1" customWidth="1"/>
    <col min="6661" max="6661" width="16.453125" style="36" bestFit="1" customWidth="1"/>
    <col min="6662" max="6662" width="18.453125" style="36" bestFit="1" customWidth="1"/>
    <col min="6663" max="6900" width="8.7265625" style="36"/>
    <col min="6901" max="6901" width="18" style="36" bestFit="1" customWidth="1"/>
    <col min="6902" max="6902" width="24.81640625" style="36" bestFit="1" customWidth="1"/>
    <col min="6903" max="6903" width="14.7265625" style="36" bestFit="1" customWidth="1"/>
    <col min="6904" max="6904" width="17.26953125" style="36" bestFit="1" customWidth="1"/>
    <col min="6905" max="6905" width="11.81640625" style="36" bestFit="1" customWidth="1"/>
    <col min="6906" max="6906" width="14.7265625" style="36" bestFit="1" customWidth="1"/>
    <col min="6907" max="6907" width="16.1796875" style="36" bestFit="1" customWidth="1"/>
    <col min="6908" max="6908" width="15.1796875" style="36" customWidth="1"/>
    <col min="6909" max="6909" width="19.453125" style="36" bestFit="1" customWidth="1"/>
    <col min="6910" max="6910" width="19.1796875" style="36" bestFit="1" customWidth="1"/>
    <col min="6911" max="6911" width="12.81640625" style="36" customWidth="1"/>
    <col min="6912" max="6912" width="16.26953125" style="36" bestFit="1" customWidth="1"/>
    <col min="6913" max="6913" width="20.54296875" style="36" bestFit="1" customWidth="1"/>
    <col min="6914" max="6914" width="23.54296875" style="36" bestFit="1" customWidth="1"/>
    <col min="6915" max="6915" width="22.81640625" style="36" bestFit="1" customWidth="1"/>
    <col min="6916" max="6916" width="12.453125" style="36" bestFit="1" customWidth="1"/>
    <col min="6917" max="6917" width="16.453125" style="36" bestFit="1" customWidth="1"/>
    <col min="6918" max="6918" width="18.453125" style="36" bestFit="1" customWidth="1"/>
    <col min="6919" max="7156" width="8.7265625" style="36"/>
    <col min="7157" max="7157" width="18" style="36" bestFit="1" customWidth="1"/>
    <col min="7158" max="7158" width="24.81640625" style="36" bestFit="1" customWidth="1"/>
    <col min="7159" max="7159" width="14.7265625" style="36" bestFit="1" customWidth="1"/>
    <col min="7160" max="7160" width="17.26953125" style="36" bestFit="1" customWidth="1"/>
    <col min="7161" max="7161" width="11.81640625" style="36" bestFit="1" customWidth="1"/>
    <col min="7162" max="7162" width="14.7265625" style="36" bestFit="1" customWidth="1"/>
    <col min="7163" max="7163" width="16.1796875" style="36" bestFit="1" customWidth="1"/>
    <col min="7164" max="7164" width="15.1796875" style="36" customWidth="1"/>
    <col min="7165" max="7165" width="19.453125" style="36" bestFit="1" customWidth="1"/>
    <col min="7166" max="7166" width="19.1796875" style="36" bestFit="1" customWidth="1"/>
    <col min="7167" max="7167" width="12.81640625" style="36" customWidth="1"/>
    <col min="7168" max="7168" width="16.26953125" style="36" bestFit="1" customWidth="1"/>
    <col min="7169" max="7169" width="20.54296875" style="36" bestFit="1" customWidth="1"/>
    <col min="7170" max="7170" width="23.54296875" style="36" bestFit="1" customWidth="1"/>
    <col min="7171" max="7171" width="22.81640625" style="36" bestFit="1" customWidth="1"/>
    <col min="7172" max="7172" width="12.453125" style="36" bestFit="1" customWidth="1"/>
    <col min="7173" max="7173" width="16.453125" style="36" bestFit="1" customWidth="1"/>
    <col min="7174" max="7174" width="18.453125" style="36" bestFit="1" customWidth="1"/>
    <col min="7175" max="7412" width="8.7265625" style="36"/>
    <col min="7413" max="7413" width="18" style="36" bestFit="1" customWidth="1"/>
    <col min="7414" max="7414" width="24.81640625" style="36" bestFit="1" customWidth="1"/>
    <col min="7415" max="7415" width="14.7265625" style="36" bestFit="1" customWidth="1"/>
    <col min="7416" max="7416" width="17.26953125" style="36" bestFit="1" customWidth="1"/>
    <col min="7417" max="7417" width="11.81640625" style="36" bestFit="1" customWidth="1"/>
    <col min="7418" max="7418" width="14.7265625" style="36" bestFit="1" customWidth="1"/>
    <col min="7419" max="7419" width="16.1796875" style="36" bestFit="1" customWidth="1"/>
    <col min="7420" max="7420" width="15.1796875" style="36" customWidth="1"/>
    <col min="7421" max="7421" width="19.453125" style="36" bestFit="1" customWidth="1"/>
    <col min="7422" max="7422" width="19.1796875" style="36" bestFit="1" customWidth="1"/>
    <col min="7423" max="7423" width="12.81640625" style="36" customWidth="1"/>
    <col min="7424" max="7424" width="16.26953125" style="36" bestFit="1" customWidth="1"/>
    <col min="7425" max="7425" width="20.54296875" style="36" bestFit="1" customWidth="1"/>
    <col min="7426" max="7426" width="23.54296875" style="36" bestFit="1" customWidth="1"/>
    <col min="7427" max="7427" width="22.81640625" style="36" bestFit="1" customWidth="1"/>
    <col min="7428" max="7428" width="12.453125" style="36" bestFit="1" customWidth="1"/>
    <col min="7429" max="7429" width="16.453125" style="36" bestFit="1" customWidth="1"/>
    <col min="7430" max="7430" width="18.453125" style="36" bestFit="1" customWidth="1"/>
    <col min="7431" max="7668" width="8.7265625" style="36"/>
    <col min="7669" max="7669" width="18" style="36" bestFit="1" customWidth="1"/>
    <col min="7670" max="7670" width="24.81640625" style="36" bestFit="1" customWidth="1"/>
    <col min="7671" max="7671" width="14.7265625" style="36" bestFit="1" customWidth="1"/>
    <col min="7672" max="7672" width="17.26953125" style="36" bestFit="1" customWidth="1"/>
    <col min="7673" max="7673" width="11.81640625" style="36" bestFit="1" customWidth="1"/>
    <col min="7674" max="7674" width="14.7265625" style="36" bestFit="1" customWidth="1"/>
    <col min="7675" max="7675" width="16.1796875" style="36" bestFit="1" customWidth="1"/>
    <col min="7676" max="7676" width="15.1796875" style="36" customWidth="1"/>
    <col min="7677" max="7677" width="19.453125" style="36" bestFit="1" customWidth="1"/>
    <col min="7678" max="7678" width="19.1796875" style="36" bestFit="1" customWidth="1"/>
    <col min="7679" max="7679" width="12.81640625" style="36" customWidth="1"/>
    <col min="7680" max="7680" width="16.26953125" style="36" bestFit="1" customWidth="1"/>
    <col min="7681" max="7681" width="20.54296875" style="36" bestFit="1" customWidth="1"/>
    <col min="7682" max="7682" width="23.54296875" style="36" bestFit="1" customWidth="1"/>
    <col min="7683" max="7683" width="22.81640625" style="36" bestFit="1" customWidth="1"/>
    <col min="7684" max="7684" width="12.453125" style="36" bestFit="1" customWidth="1"/>
    <col min="7685" max="7685" width="16.453125" style="36" bestFit="1" customWidth="1"/>
    <col min="7686" max="7686" width="18.453125" style="36" bestFit="1" customWidth="1"/>
    <col min="7687" max="7924" width="8.7265625" style="36"/>
    <col min="7925" max="7925" width="18" style="36" bestFit="1" customWidth="1"/>
    <col min="7926" max="7926" width="24.81640625" style="36" bestFit="1" customWidth="1"/>
    <col min="7927" max="7927" width="14.7265625" style="36" bestFit="1" customWidth="1"/>
    <col min="7928" max="7928" width="17.26953125" style="36" bestFit="1" customWidth="1"/>
    <col min="7929" max="7929" width="11.81640625" style="36" bestFit="1" customWidth="1"/>
    <col min="7930" max="7930" width="14.7265625" style="36" bestFit="1" customWidth="1"/>
    <col min="7931" max="7931" width="16.1796875" style="36" bestFit="1" customWidth="1"/>
    <col min="7932" max="7932" width="15.1796875" style="36" customWidth="1"/>
    <col min="7933" max="7933" width="19.453125" style="36" bestFit="1" customWidth="1"/>
    <col min="7934" max="7934" width="19.1796875" style="36" bestFit="1" customWidth="1"/>
    <col min="7935" max="7935" width="12.81640625" style="36" customWidth="1"/>
    <col min="7936" max="7936" width="16.26953125" style="36" bestFit="1" customWidth="1"/>
    <col min="7937" max="7937" width="20.54296875" style="36" bestFit="1" customWidth="1"/>
    <col min="7938" max="7938" width="23.54296875" style="36" bestFit="1" customWidth="1"/>
    <col min="7939" max="7939" width="22.81640625" style="36" bestFit="1" customWidth="1"/>
    <col min="7940" max="7940" width="12.453125" style="36" bestFit="1" customWidth="1"/>
    <col min="7941" max="7941" width="16.453125" style="36" bestFit="1" customWidth="1"/>
    <col min="7942" max="7942" width="18.453125" style="36" bestFit="1" customWidth="1"/>
    <col min="7943" max="8180" width="8.7265625" style="36"/>
    <col min="8181" max="8181" width="18" style="36" bestFit="1" customWidth="1"/>
    <col min="8182" max="8182" width="24.81640625" style="36" bestFit="1" customWidth="1"/>
    <col min="8183" max="8183" width="14.7265625" style="36" bestFit="1" customWidth="1"/>
    <col min="8184" max="8184" width="17.26953125" style="36" bestFit="1" customWidth="1"/>
    <col min="8185" max="8185" width="11.81640625" style="36" bestFit="1" customWidth="1"/>
    <col min="8186" max="8186" width="14.7265625" style="36" bestFit="1" customWidth="1"/>
    <col min="8187" max="8187" width="16.1796875" style="36" bestFit="1" customWidth="1"/>
    <col min="8188" max="8188" width="15.1796875" style="36" customWidth="1"/>
    <col min="8189" max="8189" width="19.453125" style="36" bestFit="1" customWidth="1"/>
    <col min="8190" max="8190" width="19.1796875" style="36" bestFit="1" customWidth="1"/>
    <col min="8191" max="8191" width="12.81640625" style="36" customWidth="1"/>
    <col min="8192" max="8192" width="16.26953125" style="36" bestFit="1" customWidth="1"/>
    <col min="8193" max="8193" width="20.54296875" style="36" bestFit="1" customWidth="1"/>
    <col min="8194" max="8194" width="23.54296875" style="36" bestFit="1" customWidth="1"/>
    <col min="8195" max="8195" width="22.81640625" style="36" bestFit="1" customWidth="1"/>
    <col min="8196" max="8196" width="12.453125" style="36" bestFit="1" customWidth="1"/>
    <col min="8197" max="8197" width="16.453125" style="36" bestFit="1" customWidth="1"/>
    <col min="8198" max="8198" width="18.453125" style="36" bestFit="1" customWidth="1"/>
    <col min="8199" max="8436" width="8.7265625" style="36"/>
    <col min="8437" max="8437" width="18" style="36" bestFit="1" customWidth="1"/>
    <col min="8438" max="8438" width="24.81640625" style="36" bestFit="1" customWidth="1"/>
    <col min="8439" max="8439" width="14.7265625" style="36" bestFit="1" customWidth="1"/>
    <col min="8440" max="8440" width="17.26953125" style="36" bestFit="1" customWidth="1"/>
    <col min="8441" max="8441" width="11.81640625" style="36" bestFit="1" customWidth="1"/>
    <col min="8442" max="8442" width="14.7265625" style="36" bestFit="1" customWidth="1"/>
    <col min="8443" max="8443" width="16.1796875" style="36" bestFit="1" customWidth="1"/>
    <col min="8444" max="8444" width="15.1796875" style="36" customWidth="1"/>
    <col min="8445" max="8445" width="19.453125" style="36" bestFit="1" customWidth="1"/>
    <col min="8446" max="8446" width="19.1796875" style="36" bestFit="1" customWidth="1"/>
    <col min="8447" max="8447" width="12.81640625" style="36" customWidth="1"/>
    <col min="8448" max="8448" width="16.26953125" style="36" bestFit="1" customWidth="1"/>
    <col min="8449" max="8449" width="20.54296875" style="36" bestFit="1" customWidth="1"/>
    <col min="8450" max="8450" width="23.54296875" style="36" bestFit="1" customWidth="1"/>
    <col min="8451" max="8451" width="22.81640625" style="36" bestFit="1" customWidth="1"/>
    <col min="8452" max="8452" width="12.453125" style="36" bestFit="1" customWidth="1"/>
    <col min="8453" max="8453" width="16.453125" style="36" bestFit="1" customWidth="1"/>
    <col min="8454" max="8454" width="18.453125" style="36" bestFit="1" customWidth="1"/>
    <col min="8455" max="8692" width="8.7265625" style="36"/>
    <col min="8693" max="8693" width="18" style="36" bestFit="1" customWidth="1"/>
    <col min="8694" max="8694" width="24.81640625" style="36" bestFit="1" customWidth="1"/>
    <col min="8695" max="8695" width="14.7265625" style="36" bestFit="1" customWidth="1"/>
    <col min="8696" max="8696" width="17.26953125" style="36" bestFit="1" customWidth="1"/>
    <col min="8697" max="8697" width="11.81640625" style="36" bestFit="1" customWidth="1"/>
    <col min="8698" max="8698" width="14.7265625" style="36" bestFit="1" customWidth="1"/>
    <col min="8699" max="8699" width="16.1796875" style="36" bestFit="1" customWidth="1"/>
    <col min="8700" max="8700" width="15.1796875" style="36" customWidth="1"/>
    <col min="8701" max="8701" width="19.453125" style="36" bestFit="1" customWidth="1"/>
    <col min="8702" max="8702" width="19.1796875" style="36" bestFit="1" customWidth="1"/>
    <col min="8703" max="8703" width="12.81640625" style="36" customWidth="1"/>
    <col min="8704" max="8704" width="16.26953125" style="36" bestFit="1" customWidth="1"/>
    <col min="8705" max="8705" width="20.54296875" style="36" bestFit="1" customWidth="1"/>
    <col min="8706" max="8706" width="23.54296875" style="36" bestFit="1" customWidth="1"/>
    <col min="8707" max="8707" width="22.81640625" style="36" bestFit="1" customWidth="1"/>
    <col min="8708" max="8708" width="12.453125" style="36" bestFit="1" customWidth="1"/>
    <col min="8709" max="8709" width="16.453125" style="36" bestFit="1" customWidth="1"/>
    <col min="8710" max="8710" width="18.453125" style="36" bestFit="1" customWidth="1"/>
    <col min="8711" max="8948" width="8.7265625" style="36"/>
    <col min="8949" max="8949" width="18" style="36" bestFit="1" customWidth="1"/>
    <col min="8950" max="8950" width="24.81640625" style="36" bestFit="1" customWidth="1"/>
    <col min="8951" max="8951" width="14.7265625" style="36" bestFit="1" customWidth="1"/>
    <col min="8952" max="8952" width="17.26953125" style="36" bestFit="1" customWidth="1"/>
    <col min="8953" max="8953" width="11.81640625" style="36" bestFit="1" customWidth="1"/>
    <col min="8954" max="8954" width="14.7265625" style="36" bestFit="1" customWidth="1"/>
    <col min="8955" max="8955" width="16.1796875" style="36" bestFit="1" customWidth="1"/>
    <col min="8956" max="8956" width="15.1796875" style="36" customWidth="1"/>
    <col min="8957" max="8957" width="19.453125" style="36" bestFit="1" customWidth="1"/>
    <col min="8958" max="8958" width="19.1796875" style="36" bestFit="1" customWidth="1"/>
    <col min="8959" max="8959" width="12.81640625" style="36" customWidth="1"/>
    <col min="8960" max="8960" width="16.26953125" style="36" bestFit="1" customWidth="1"/>
    <col min="8961" max="8961" width="20.54296875" style="36" bestFit="1" customWidth="1"/>
    <col min="8962" max="8962" width="23.54296875" style="36" bestFit="1" customWidth="1"/>
    <col min="8963" max="8963" width="22.81640625" style="36" bestFit="1" customWidth="1"/>
    <col min="8964" max="8964" width="12.453125" style="36" bestFit="1" customWidth="1"/>
    <col min="8965" max="8965" width="16.453125" style="36" bestFit="1" customWidth="1"/>
    <col min="8966" max="8966" width="18.453125" style="36" bestFit="1" customWidth="1"/>
    <col min="8967" max="9204" width="8.7265625" style="36"/>
    <col min="9205" max="9205" width="18" style="36" bestFit="1" customWidth="1"/>
    <col min="9206" max="9206" width="24.81640625" style="36" bestFit="1" customWidth="1"/>
    <col min="9207" max="9207" width="14.7265625" style="36" bestFit="1" customWidth="1"/>
    <col min="9208" max="9208" width="17.26953125" style="36" bestFit="1" customWidth="1"/>
    <col min="9209" max="9209" width="11.81640625" style="36" bestFit="1" customWidth="1"/>
    <col min="9210" max="9210" width="14.7265625" style="36" bestFit="1" customWidth="1"/>
    <col min="9211" max="9211" width="16.1796875" style="36" bestFit="1" customWidth="1"/>
    <col min="9212" max="9212" width="15.1796875" style="36" customWidth="1"/>
    <col min="9213" max="9213" width="19.453125" style="36" bestFit="1" customWidth="1"/>
    <col min="9214" max="9214" width="19.1796875" style="36" bestFit="1" customWidth="1"/>
    <col min="9215" max="9215" width="12.81640625" style="36" customWidth="1"/>
    <col min="9216" max="9216" width="16.26953125" style="36" bestFit="1" customWidth="1"/>
    <col min="9217" max="9217" width="20.54296875" style="36" bestFit="1" customWidth="1"/>
    <col min="9218" max="9218" width="23.54296875" style="36" bestFit="1" customWidth="1"/>
    <col min="9219" max="9219" width="22.81640625" style="36" bestFit="1" customWidth="1"/>
    <col min="9220" max="9220" width="12.453125" style="36" bestFit="1" customWidth="1"/>
    <col min="9221" max="9221" width="16.453125" style="36" bestFit="1" customWidth="1"/>
    <col min="9222" max="9222" width="18.453125" style="36" bestFit="1" customWidth="1"/>
    <col min="9223" max="9460" width="8.7265625" style="36"/>
    <col min="9461" max="9461" width="18" style="36" bestFit="1" customWidth="1"/>
    <col min="9462" max="9462" width="24.81640625" style="36" bestFit="1" customWidth="1"/>
    <col min="9463" max="9463" width="14.7265625" style="36" bestFit="1" customWidth="1"/>
    <col min="9464" max="9464" width="17.26953125" style="36" bestFit="1" customWidth="1"/>
    <col min="9465" max="9465" width="11.81640625" style="36" bestFit="1" customWidth="1"/>
    <col min="9466" max="9466" width="14.7265625" style="36" bestFit="1" customWidth="1"/>
    <col min="9467" max="9467" width="16.1796875" style="36" bestFit="1" customWidth="1"/>
    <col min="9468" max="9468" width="15.1796875" style="36" customWidth="1"/>
    <col min="9469" max="9469" width="19.453125" style="36" bestFit="1" customWidth="1"/>
    <col min="9470" max="9470" width="19.1796875" style="36" bestFit="1" customWidth="1"/>
    <col min="9471" max="9471" width="12.81640625" style="36" customWidth="1"/>
    <col min="9472" max="9472" width="16.26953125" style="36" bestFit="1" customWidth="1"/>
    <col min="9473" max="9473" width="20.54296875" style="36" bestFit="1" customWidth="1"/>
    <col min="9474" max="9474" width="23.54296875" style="36" bestFit="1" customWidth="1"/>
    <col min="9475" max="9475" width="22.81640625" style="36" bestFit="1" customWidth="1"/>
    <col min="9476" max="9476" width="12.453125" style="36" bestFit="1" customWidth="1"/>
    <col min="9477" max="9477" width="16.453125" style="36" bestFit="1" customWidth="1"/>
    <col min="9478" max="9478" width="18.453125" style="36" bestFit="1" customWidth="1"/>
    <col min="9479" max="9716" width="8.7265625" style="36"/>
    <col min="9717" max="9717" width="18" style="36" bestFit="1" customWidth="1"/>
    <col min="9718" max="9718" width="24.81640625" style="36" bestFit="1" customWidth="1"/>
    <col min="9719" max="9719" width="14.7265625" style="36" bestFit="1" customWidth="1"/>
    <col min="9720" max="9720" width="17.26953125" style="36" bestFit="1" customWidth="1"/>
    <col min="9721" max="9721" width="11.81640625" style="36" bestFit="1" customWidth="1"/>
    <col min="9722" max="9722" width="14.7265625" style="36" bestFit="1" customWidth="1"/>
    <col min="9723" max="9723" width="16.1796875" style="36" bestFit="1" customWidth="1"/>
    <col min="9724" max="9724" width="15.1796875" style="36" customWidth="1"/>
    <col min="9725" max="9725" width="19.453125" style="36" bestFit="1" customWidth="1"/>
    <col min="9726" max="9726" width="19.1796875" style="36" bestFit="1" customWidth="1"/>
    <col min="9727" max="9727" width="12.81640625" style="36" customWidth="1"/>
    <col min="9728" max="9728" width="16.26953125" style="36" bestFit="1" customWidth="1"/>
    <col min="9729" max="9729" width="20.54296875" style="36" bestFit="1" customWidth="1"/>
    <col min="9730" max="9730" width="23.54296875" style="36" bestFit="1" customWidth="1"/>
    <col min="9731" max="9731" width="22.81640625" style="36" bestFit="1" customWidth="1"/>
    <col min="9732" max="9732" width="12.453125" style="36" bestFit="1" customWidth="1"/>
    <col min="9733" max="9733" width="16.453125" style="36" bestFit="1" customWidth="1"/>
    <col min="9734" max="9734" width="18.453125" style="36" bestFit="1" customWidth="1"/>
    <col min="9735" max="9972" width="8.7265625" style="36"/>
    <col min="9973" max="9973" width="18" style="36" bestFit="1" customWidth="1"/>
    <col min="9974" max="9974" width="24.81640625" style="36" bestFit="1" customWidth="1"/>
    <col min="9975" max="9975" width="14.7265625" style="36" bestFit="1" customWidth="1"/>
    <col min="9976" max="9976" width="17.26953125" style="36" bestFit="1" customWidth="1"/>
    <col min="9977" max="9977" width="11.81640625" style="36" bestFit="1" customWidth="1"/>
    <col min="9978" max="9978" width="14.7265625" style="36" bestFit="1" customWidth="1"/>
    <col min="9979" max="9979" width="16.1796875" style="36" bestFit="1" customWidth="1"/>
    <col min="9980" max="9980" width="15.1796875" style="36" customWidth="1"/>
    <col min="9981" max="9981" width="19.453125" style="36" bestFit="1" customWidth="1"/>
    <col min="9982" max="9982" width="19.1796875" style="36" bestFit="1" customWidth="1"/>
    <col min="9983" max="9983" width="12.81640625" style="36" customWidth="1"/>
    <col min="9984" max="9984" width="16.26953125" style="36" bestFit="1" customWidth="1"/>
    <col min="9985" max="9985" width="20.54296875" style="36" bestFit="1" customWidth="1"/>
    <col min="9986" max="9986" width="23.54296875" style="36" bestFit="1" customWidth="1"/>
    <col min="9987" max="9987" width="22.81640625" style="36" bestFit="1" customWidth="1"/>
    <col min="9988" max="9988" width="12.453125" style="36" bestFit="1" customWidth="1"/>
    <col min="9989" max="9989" width="16.453125" style="36" bestFit="1" customWidth="1"/>
    <col min="9990" max="9990" width="18.453125" style="36" bestFit="1" customWidth="1"/>
    <col min="9991" max="10228" width="8.7265625" style="36"/>
    <col min="10229" max="10229" width="18" style="36" bestFit="1" customWidth="1"/>
    <col min="10230" max="10230" width="24.81640625" style="36" bestFit="1" customWidth="1"/>
    <col min="10231" max="10231" width="14.7265625" style="36" bestFit="1" customWidth="1"/>
    <col min="10232" max="10232" width="17.26953125" style="36" bestFit="1" customWidth="1"/>
    <col min="10233" max="10233" width="11.81640625" style="36" bestFit="1" customWidth="1"/>
    <col min="10234" max="10234" width="14.7265625" style="36" bestFit="1" customWidth="1"/>
    <col min="10235" max="10235" width="16.1796875" style="36" bestFit="1" customWidth="1"/>
    <col min="10236" max="10236" width="15.1796875" style="36" customWidth="1"/>
    <col min="10237" max="10237" width="19.453125" style="36" bestFit="1" customWidth="1"/>
    <col min="10238" max="10238" width="19.1796875" style="36" bestFit="1" customWidth="1"/>
    <col min="10239" max="10239" width="12.81640625" style="36" customWidth="1"/>
    <col min="10240" max="10240" width="16.26953125" style="36" bestFit="1" customWidth="1"/>
    <col min="10241" max="10241" width="20.54296875" style="36" bestFit="1" customWidth="1"/>
    <col min="10242" max="10242" width="23.54296875" style="36" bestFit="1" customWidth="1"/>
    <col min="10243" max="10243" width="22.81640625" style="36" bestFit="1" customWidth="1"/>
    <col min="10244" max="10244" width="12.453125" style="36" bestFit="1" customWidth="1"/>
    <col min="10245" max="10245" width="16.453125" style="36" bestFit="1" customWidth="1"/>
    <col min="10246" max="10246" width="18.453125" style="36" bestFit="1" customWidth="1"/>
    <col min="10247" max="10484" width="8.7265625" style="36"/>
    <col min="10485" max="10485" width="18" style="36" bestFit="1" customWidth="1"/>
    <col min="10486" max="10486" width="24.81640625" style="36" bestFit="1" customWidth="1"/>
    <col min="10487" max="10487" width="14.7265625" style="36" bestFit="1" customWidth="1"/>
    <col min="10488" max="10488" width="17.26953125" style="36" bestFit="1" customWidth="1"/>
    <col min="10489" max="10489" width="11.81640625" style="36" bestFit="1" customWidth="1"/>
    <col min="10490" max="10490" width="14.7265625" style="36" bestFit="1" customWidth="1"/>
    <col min="10491" max="10491" width="16.1796875" style="36" bestFit="1" customWidth="1"/>
    <col min="10492" max="10492" width="15.1796875" style="36" customWidth="1"/>
    <col min="10493" max="10493" width="19.453125" style="36" bestFit="1" customWidth="1"/>
    <col min="10494" max="10494" width="19.1796875" style="36" bestFit="1" customWidth="1"/>
    <col min="10495" max="10495" width="12.81640625" style="36" customWidth="1"/>
    <col min="10496" max="10496" width="16.26953125" style="36" bestFit="1" customWidth="1"/>
    <col min="10497" max="10497" width="20.54296875" style="36" bestFit="1" customWidth="1"/>
    <col min="10498" max="10498" width="23.54296875" style="36" bestFit="1" customWidth="1"/>
    <col min="10499" max="10499" width="22.81640625" style="36" bestFit="1" customWidth="1"/>
    <col min="10500" max="10500" width="12.453125" style="36" bestFit="1" customWidth="1"/>
    <col min="10501" max="10501" width="16.453125" style="36" bestFit="1" customWidth="1"/>
    <col min="10502" max="10502" width="18.453125" style="36" bestFit="1" customWidth="1"/>
    <col min="10503" max="10740" width="8.7265625" style="36"/>
    <col min="10741" max="10741" width="18" style="36" bestFit="1" customWidth="1"/>
    <col min="10742" max="10742" width="24.81640625" style="36" bestFit="1" customWidth="1"/>
    <col min="10743" max="10743" width="14.7265625" style="36" bestFit="1" customWidth="1"/>
    <col min="10744" max="10744" width="17.26953125" style="36" bestFit="1" customWidth="1"/>
    <col min="10745" max="10745" width="11.81640625" style="36" bestFit="1" customWidth="1"/>
    <col min="10746" max="10746" width="14.7265625" style="36" bestFit="1" customWidth="1"/>
    <col min="10747" max="10747" width="16.1796875" style="36" bestFit="1" customWidth="1"/>
    <col min="10748" max="10748" width="15.1796875" style="36" customWidth="1"/>
    <col min="10749" max="10749" width="19.453125" style="36" bestFit="1" customWidth="1"/>
    <col min="10750" max="10750" width="19.1796875" style="36" bestFit="1" customWidth="1"/>
    <col min="10751" max="10751" width="12.81640625" style="36" customWidth="1"/>
    <col min="10752" max="10752" width="16.26953125" style="36" bestFit="1" customWidth="1"/>
    <col min="10753" max="10753" width="20.54296875" style="36" bestFit="1" customWidth="1"/>
    <col min="10754" max="10754" width="23.54296875" style="36" bestFit="1" customWidth="1"/>
    <col min="10755" max="10755" width="22.81640625" style="36" bestFit="1" customWidth="1"/>
    <col min="10756" max="10756" width="12.453125" style="36" bestFit="1" customWidth="1"/>
    <col min="10757" max="10757" width="16.453125" style="36" bestFit="1" customWidth="1"/>
    <col min="10758" max="10758" width="18.453125" style="36" bestFit="1" customWidth="1"/>
    <col min="10759" max="10996" width="8.7265625" style="36"/>
    <col min="10997" max="10997" width="18" style="36" bestFit="1" customWidth="1"/>
    <col min="10998" max="10998" width="24.81640625" style="36" bestFit="1" customWidth="1"/>
    <col min="10999" max="10999" width="14.7265625" style="36" bestFit="1" customWidth="1"/>
    <col min="11000" max="11000" width="17.26953125" style="36" bestFit="1" customWidth="1"/>
    <col min="11001" max="11001" width="11.81640625" style="36" bestFit="1" customWidth="1"/>
    <col min="11002" max="11002" width="14.7265625" style="36" bestFit="1" customWidth="1"/>
    <col min="11003" max="11003" width="16.1796875" style="36" bestFit="1" customWidth="1"/>
    <col min="11004" max="11004" width="15.1796875" style="36" customWidth="1"/>
    <col min="11005" max="11005" width="19.453125" style="36" bestFit="1" customWidth="1"/>
    <col min="11006" max="11006" width="19.1796875" style="36" bestFit="1" customWidth="1"/>
    <col min="11007" max="11007" width="12.81640625" style="36" customWidth="1"/>
    <col min="11008" max="11008" width="16.26953125" style="36" bestFit="1" customWidth="1"/>
    <col min="11009" max="11009" width="20.54296875" style="36" bestFit="1" customWidth="1"/>
    <col min="11010" max="11010" width="23.54296875" style="36" bestFit="1" customWidth="1"/>
    <col min="11011" max="11011" width="22.81640625" style="36" bestFit="1" customWidth="1"/>
    <col min="11012" max="11012" width="12.453125" style="36" bestFit="1" customWidth="1"/>
    <col min="11013" max="11013" width="16.453125" style="36" bestFit="1" customWidth="1"/>
    <col min="11014" max="11014" width="18.453125" style="36" bestFit="1" customWidth="1"/>
    <col min="11015" max="11252" width="8.7265625" style="36"/>
    <col min="11253" max="11253" width="18" style="36" bestFit="1" customWidth="1"/>
    <col min="11254" max="11254" width="24.81640625" style="36" bestFit="1" customWidth="1"/>
    <col min="11255" max="11255" width="14.7265625" style="36" bestFit="1" customWidth="1"/>
    <col min="11256" max="11256" width="17.26953125" style="36" bestFit="1" customWidth="1"/>
    <col min="11257" max="11257" width="11.81640625" style="36" bestFit="1" customWidth="1"/>
    <col min="11258" max="11258" width="14.7265625" style="36" bestFit="1" customWidth="1"/>
    <col min="11259" max="11259" width="16.1796875" style="36" bestFit="1" customWidth="1"/>
    <col min="11260" max="11260" width="15.1796875" style="36" customWidth="1"/>
    <col min="11261" max="11261" width="19.453125" style="36" bestFit="1" customWidth="1"/>
    <col min="11262" max="11262" width="19.1796875" style="36" bestFit="1" customWidth="1"/>
    <col min="11263" max="11263" width="12.81640625" style="36" customWidth="1"/>
    <col min="11264" max="11264" width="16.26953125" style="36" bestFit="1" customWidth="1"/>
    <col min="11265" max="11265" width="20.54296875" style="36" bestFit="1" customWidth="1"/>
    <col min="11266" max="11266" width="23.54296875" style="36" bestFit="1" customWidth="1"/>
    <col min="11267" max="11267" width="22.81640625" style="36" bestFit="1" customWidth="1"/>
    <col min="11268" max="11268" width="12.453125" style="36" bestFit="1" customWidth="1"/>
    <col min="11269" max="11269" width="16.453125" style="36" bestFit="1" customWidth="1"/>
    <col min="11270" max="11270" width="18.453125" style="36" bestFit="1" customWidth="1"/>
    <col min="11271" max="11508" width="8.7265625" style="36"/>
    <col min="11509" max="11509" width="18" style="36" bestFit="1" customWidth="1"/>
    <col min="11510" max="11510" width="24.81640625" style="36" bestFit="1" customWidth="1"/>
    <col min="11511" max="11511" width="14.7265625" style="36" bestFit="1" customWidth="1"/>
    <col min="11512" max="11512" width="17.26953125" style="36" bestFit="1" customWidth="1"/>
    <col min="11513" max="11513" width="11.81640625" style="36" bestFit="1" customWidth="1"/>
    <col min="11514" max="11514" width="14.7265625" style="36" bestFit="1" customWidth="1"/>
    <col min="11515" max="11515" width="16.1796875" style="36" bestFit="1" customWidth="1"/>
    <col min="11516" max="11516" width="15.1796875" style="36" customWidth="1"/>
    <col min="11517" max="11517" width="19.453125" style="36" bestFit="1" customWidth="1"/>
    <col min="11518" max="11518" width="19.1796875" style="36" bestFit="1" customWidth="1"/>
    <col min="11519" max="11519" width="12.81640625" style="36" customWidth="1"/>
    <col min="11520" max="11520" width="16.26953125" style="36" bestFit="1" customWidth="1"/>
    <col min="11521" max="11521" width="20.54296875" style="36" bestFit="1" customWidth="1"/>
    <col min="11522" max="11522" width="23.54296875" style="36" bestFit="1" customWidth="1"/>
    <col min="11523" max="11523" width="22.81640625" style="36" bestFit="1" customWidth="1"/>
    <col min="11524" max="11524" width="12.453125" style="36" bestFit="1" customWidth="1"/>
    <col min="11525" max="11525" width="16.453125" style="36" bestFit="1" customWidth="1"/>
    <col min="11526" max="11526" width="18.453125" style="36" bestFit="1" customWidth="1"/>
    <col min="11527" max="11764" width="8.7265625" style="36"/>
    <col min="11765" max="11765" width="18" style="36" bestFit="1" customWidth="1"/>
    <col min="11766" max="11766" width="24.81640625" style="36" bestFit="1" customWidth="1"/>
    <col min="11767" max="11767" width="14.7265625" style="36" bestFit="1" customWidth="1"/>
    <col min="11768" max="11768" width="17.26953125" style="36" bestFit="1" customWidth="1"/>
    <col min="11769" max="11769" width="11.81640625" style="36" bestFit="1" customWidth="1"/>
    <col min="11770" max="11770" width="14.7265625" style="36" bestFit="1" customWidth="1"/>
    <col min="11771" max="11771" width="16.1796875" style="36" bestFit="1" customWidth="1"/>
    <col min="11772" max="11772" width="15.1796875" style="36" customWidth="1"/>
    <col min="11773" max="11773" width="19.453125" style="36" bestFit="1" customWidth="1"/>
    <col min="11774" max="11774" width="19.1796875" style="36" bestFit="1" customWidth="1"/>
    <col min="11775" max="11775" width="12.81640625" style="36" customWidth="1"/>
    <col min="11776" max="11776" width="16.26953125" style="36" bestFit="1" customWidth="1"/>
    <col min="11777" max="11777" width="20.54296875" style="36" bestFit="1" customWidth="1"/>
    <col min="11778" max="11778" width="23.54296875" style="36" bestFit="1" customWidth="1"/>
    <col min="11779" max="11779" width="22.81640625" style="36" bestFit="1" customWidth="1"/>
    <col min="11780" max="11780" width="12.453125" style="36" bestFit="1" customWidth="1"/>
    <col min="11781" max="11781" width="16.453125" style="36" bestFit="1" customWidth="1"/>
    <col min="11782" max="11782" width="18.453125" style="36" bestFit="1" customWidth="1"/>
    <col min="11783" max="12020" width="8.7265625" style="36"/>
    <col min="12021" max="12021" width="18" style="36" bestFit="1" customWidth="1"/>
    <col min="12022" max="12022" width="24.81640625" style="36" bestFit="1" customWidth="1"/>
    <col min="12023" max="12023" width="14.7265625" style="36" bestFit="1" customWidth="1"/>
    <col min="12024" max="12024" width="17.26953125" style="36" bestFit="1" customWidth="1"/>
    <col min="12025" max="12025" width="11.81640625" style="36" bestFit="1" customWidth="1"/>
    <col min="12026" max="12026" width="14.7265625" style="36" bestFit="1" customWidth="1"/>
    <col min="12027" max="12027" width="16.1796875" style="36" bestFit="1" customWidth="1"/>
    <col min="12028" max="12028" width="15.1796875" style="36" customWidth="1"/>
    <col min="12029" max="12029" width="19.453125" style="36" bestFit="1" customWidth="1"/>
    <col min="12030" max="12030" width="19.1796875" style="36" bestFit="1" customWidth="1"/>
    <col min="12031" max="12031" width="12.81640625" style="36" customWidth="1"/>
    <col min="12032" max="12032" width="16.26953125" style="36" bestFit="1" customWidth="1"/>
    <col min="12033" max="12033" width="20.54296875" style="36" bestFit="1" customWidth="1"/>
    <col min="12034" max="12034" width="23.54296875" style="36" bestFit="1" customWidth="1"/>
    <col min="12035" max="12035" width="22.81640625" style="36" bestFit="1" customWidth="1"/>
    <col min="12036" max="12036" width="12.453125" style="36" bestFit="1" customWidth="1"/>
    <col min="12037" max="12037" width="16.453125" style="36" bestFit="1" customWidth="1"/>
    <col min="12038" max="12038" width="18.453125" style="36" bestFit="1" customWidth="1"/>
    <col min="12039" max="12276" width="8.7265625" style="36"/>
    <col min="12277" max="12277" width="18" style="36" bestFit="1" customWidth="1"/>
    <col min="12278" max="12278" width="24.81640625" style="36" bestFit="1" customWidth="1"/>
    <col min="12279" max="12279" width="14.7265625" style="36" bestFit="1" customWidth="1"/>
    <col min="12280" max="12280" width="17.26953125" style="36" bestFit="1" customWidth="1"/>
    <col min="12281" max="12281" width="11.81640625" style="36" bestFit="1" customWidth="1"/>
    <col min="12282" max="12282" width="14.7265625" style="36" bestFit="1" customWidth="1"/>
    <col min="12283" max="12283" width="16.1796875" style="36" bestFit="1" customWidth="1"/>
    <col min="12284" max="12284" width="15.1796875" style="36" customWidth="1"/>
    <col min="12285" max="12285" width="19.453125" style="36" bestFit="1" customWidth="1"/>
    <col min="12286" max="12286" width="19.1796875" style="36" bestFit="1" customWidth="1"/>
    <col min="12287" max="12287" width="12.81640625" style="36" customWidth="1"/>
    <col min="12288" max="12288" width="16.26953125" style="36" bestFit="1" customWidth="1"/>
    <col min="12289" max="12289" width="20.54296875" style="36" bestFit="1" customWidth="1"/>
    <col min="12290" max="12290" width="23.54296875" style="36" bestFit="1" customWidth="1"/>
    <col min="12291" max="12291" width="22.81640625" style="36" bestFit="1" customWidth="1"/>
    <col min="12292" max="12292" width="12.453125" style="36" bestFit="1" customWidth="1"/>
    <col min="12293" max="12293" width="16.453125" style="36" bestFit="1" customWidth="1"/>
    <col min="12294" max="12294" width="18.453125" style="36" bestFit="1" customWidth="1"/>
    <col min="12295" max="12532" width="8.7265625" style="36"/>
    <col min="12533" max="12533" width="18" style="36" bestFit="1" customWidth="1"/>
    <col min="12534" max="12534" width="24.81640625" style="36" bestFit="1" customWidth="1"/>
    <col min="12535" max="12535" width="14.7265625" style="36" bestFit="1" customWidth="1"/>
    <col min="12536" max="12536" width="17.26953125" style="36" bestFit="1" customWidth="1"/>
    <col min="12537" max="12537" width="11.81640625" style="36" bestFit="1" customWidth="1"/>
    <col min="12538" max="12538" width="14.7265625" style="36" bestFit="1" customWidth="1"/>
    <col min="12539" max="12539" width="16.1796875" style="36" bestFit="1" customWidth="1"/>
    <col min="12540" max="12540" width="15.1796875" style="36" customWidth="1"/>
    <col min="12541" max="12541" width="19.453125" style="36" bestFit="1" customWidth="1"/>
    <col min="12542" max="12542" width="19.1796875" style="36" bestFit="1" customWidth="1"/>
    <col min="12543" max="12543" width="12.81640625" style="36" customWidth="1"/>
    <col min="12544" max="12544" width="16.26953125" style="36" bestFit="1" customWidth="1"/>
    <col min="12545" max="12545" width="20.54296875" style="36" bestFit="1" customWidth="1"/>
    <col min="12546" max="12546" width="23.54296875" style="36" bestFit="1" customWidth="1"/>
    <col min="12547" max="12547" width="22.81640625" style="36" bestFit="1" customWidth="1"/>
    <col min="12548" max="12548" width="12.453125" style="36" bestFit="1" customWidth="1"/>
    <col min="12549" max="12549" width="16.453125" style="36" bestFit="1" customWidth="1"/>
    <col min="12550" max="12550" width="18.453125" style="36" bestFit="1" customWidth="1"/>
    <col min="12551" max="12788" width="8.7265625" style="36"/>
    <col min="12789" max="12789" width="18" style="36" bestFit="1" customWidth="1"/>
    <col min="12790" max="12790" width="24.81640625" style="36" bestFit="1" customWidth="1"/>
    <col min="12791" max="12791" width="14.7265625" style="36" bestFit="1" customWidth="1"/>
    <col min="12792" max="12792" width="17.26953125" style="36" bestFit="1" customWidth="1"/>
    <col min="12793" max="12793" width="11.81640625" style="36" bestFit="1" customWidth="1"/>
    <col min="12794" max="12794" width="14.7265625" style="36" bestFit="1" customWidth="1"/>
    <col min="12795" max="12795" width="16.1796875" style="36" bestFit="1" customWidth="1"/>
    <col min="12796" max="12796" width="15.1796875" style="36" customWidth="1"/>
    <col min="12797" max="12797" width="19.453125" style="36" bestFit="1" customWidth="1"/>
    <col min="12798" max="12798" width="19.1796875" style="36" bestFit="1" customWidth="1"/>
    <col min="12799" max="12799" width="12.81640625" style="36" customWidth="1"/>
    <col min="12800" max="12800" width="16.26953125" style="36" bestFit="1" customWidth="1"/>
    <col min="12801" max="12801" width="20.54296875" style="36" bestFit="1" customWidth="1"/>
    <col min="12802" max="12802" width="23.54296875" style="36" bestFit="1" customWidth="1"/>
    <col min="12803" max="12803" width="22.81640625" style="36" bestFit="1" customWidth="1"/>
    <col min="12804" max="12804" width="12.453125" style="36" bestFit="1" customWidth="1"/>
    <col min="12805" max="12805" width="16.453125" style="36" bestFit="1" customWidth="1"/>
    <col min="12806" max="12806" width="18.453125" style="36" bestFit="1" customWidth="1"/>
    <col min="12807" max="13044" width="8.7265625" style="36"/>
    <col min="13045" max="13045" width="18" style="36" bestFit="1" customWidth="1"/>
    <col min="13046" max="13046" width="24.81640625" style="36" bestFit="1" customWidth="1"/>
    <col min="13047" max="13047" width="14.7265625" style="36" bestFit="1" customWidth="1"/>
    <col min="13048" max="13048" width="17.26953125" style="36" bestFit="1" customWidth="1"/>
    <col min="13049" max="13049" width="11.81640625" style="36" bestFit="1" customWidth="1"/>
    <col min="13050" max="13050" width="14.7265625" style="36" bestFit="1" customWidth="1"/>
    <col min="13051" max="13051" width="16.1796875" style="36" bestFit="1" customWidth="1"/>
    <col min="13052" max="13052" width="15.1796875" style="36" customWidth="1"/>
    <col min="13053" max="13053" width="19.453125" style="36" bestFit="1" customWidth="1"/>
    <col min="13054" max="13054" width="19.1796875" style="36" bestFit="1" customWidth="1"/>
    <col min="13055" max="13055" width="12.81640625" style="36" customWidth="1"/>
    <col min="13056" max="13056" width="16.26953125" style="36" bestFit="1" customWidth="1"/>
    <col min="13057" max="13057" width="20.54296875" style="36" bestFit="1" customWidth="1"/>
    <col min="13058" max="13058" width="23.54296875" style="36" bestFit="1" customWidth="1"/>
    <col min="13059" max="13059" width="22.81640625" style="36" bestFit="1" customWidth="1"/>
    <col min="13060" max="13060" width="12.453125" style="36" bestFit="1" customWidth="1"/>
    <col min="13061" max="13061" width="16.453125" style="36" bestFit="1" customWidth="1"/>
    <col min="13062" max="13062" width="18.453125" style="36" bestFit="1" customWidth="1"/>
    <col min="13063" max="13300" width="8.7265625" style="36"/>
    <col min="13301" max="13301" width="18" style="36" bestFit="1" customWidth="1"/>
    <col min="13302" max="13302" width="24.81640625" style="36" bestFit="1" customWidth="1"/>
    <col min="13303" max="13303" width="14.7265625" style="36" bestFit="1" customWidth="1"/>
    <col min="13304" max="13304" width="17.26953125" style="36" bestFit="1" customWidth="1"/>
    <col min="13305" max="13305" width="11.81640625" style="36" bestFit="1" customWidth="1"/>
    <col min="13306" max="13306" width="14.7265625" style="36" bestFit="1" customWidth="1"/>
    <col min="13307" max="13307" width="16.1796875" style="36" bestFit="1" customWidth="1"/>
    <col min="13308" max="13308" width="15.1796875" style="36" customWidth="1"/>
    <col min="13309" max="13309" width="19.453125" style="36" bestFit="1" customWidth="1"/>
    <col min="13310" max="13310" width="19.1796875" style="36" bestFit="1" customWidth="1"/>
    <col min="13311" max="13311" width="12.81640625" style="36" customWidth="1"/>
    <col min="13312" max="13312" width="16.26953125" style="36" bestFit="1" customWidth="1"/>
    <col min="13313" max="13313" width="20.54296875" style="36" bestFit="1" customWidth="1"/>
    <col min="13314" max="13314" width="23.54296875" style="36" bestFit="1" customWidth="1"/>
    <col min="13315" max="13315" width="22.81640625" style="36" bestFit="1" customWidth="1"/>
    <col min="13316" max="13316" width="12.453125" style="36" bestFit="1" customWidth="1"/>
    <col min="13317" max="13317" width="16.453125" style="36" bestFit="1" customWidth="1"/>
    <col min="13318" max="13318" width="18.453125" style="36" bestFit="1" customWidth="1"/>
    <col min="13319" max="13556" width="8.7265625" style="36"/>
    <col min="13557" max="13557" width="18" style="36" bestFit="1" customWidth="1"/>
    <col min="13558" max="13558" width="24.81640625" style="36" bestFit="1" customWidth="1"/>
    <col min="13559" max="13559" width="14.7265625" style="36" bestFit="1" customWidth="1"/>
    <col min="13560" max="13560" width="17.26953125" style="36" bestFit="1" customWidth="1"/>
    <col min="13561" max="13561" width="11.81640625" style="36" bestFit="1" customWidth="1"/>
    <col min="13562" max="13562" width="14.7265625" style="36" bestFit="1" customWidth="1"/>
    <col min="13563" max="13563" width="16.1796875" style="36" bestFit="1" customWidth="1"/>
    <col min="13564" max="13564" width="15.1796875" style="36" customWidth="1"/>
    <col min="13565" max="13565" width="19.453125" style="36" bestFit="1" customWidth="1"/>
    <col min="13566" max="13566" width="19.1796875" style="36" bestFit="1" customWidth="1"/>
    <col min="13567" max="13567" width="12.81640625" style="36" customWidth="1"/>
    <col min="13568" max="13568" width="16.26953125" style="36" bestFit="1" customWidth="1"/>
    <col min="13569" max="13569" width="20.54296875" style="36" bestFit="1" customWidth="1"/>
    <col min="13570" max="13570" width="23.54296875" style="36" bestFit="1" customWidth="1"/>
    <col min="13571" max="13571" width="22.81640625" style="36" bestFit="1" customWidth="1"/>
    <col min="13572" max="13572" width="12.453125" style="36" bestFit="1" customWidth="1"/>
    <col min="13573" max="13573" width="16.453125" style="36" bestFit="1" customWidth="1"/>
    <col min="13574" max="13574" width="18.453125" style="36" bestFit="1" customWidth="1"/>
    <col min="13575" max="13812" width="8.7265625" style="36"/>
    <col min="13813" max="13813" width="18" style="36" bestFit="1" customWidth="1"/>
    <col min="13814" max="13814" width="24.81640625" style="36" bestFit="1" customWidth="1"/>
    <col min="13815" max="13815" width="14.7265625" style="36" bestFit="1" customWidth="1"/>
    <col min="13816" max="13816" width="17.26953125" style="36" bestFit="1" customWidth="1"/>
    <col min="13817" max="13817" width="11.81640625" style="36" bestFit="1" customWidth="1"/>
    <col min="13818" max="13818" width="14.7265625" style="36" bestFit="1" customWidth="1"/>
    <col min="13819" max="13819" width="16.1796875" style="36" bestFit="1" customWidth="1"/>
    <col min="13820" max="13820" width="15.1796875" style="36" customWidth="1"/>
    <col min="13821" max="13821" width="19.453125" style="36" bestFit="1" customWidth="1"/>
    <col min="13822" max="13822" width="19.1796875" style="36" bestFit="1" customWidth="1"/>
    <col min="13823" max="13823" width="12.81640625" style="36" customWidth="1"/>
    <col min="13824" max="13824" width="16.26953125" style="36" bestFit="1" customWidth="1"/>
    <col min="13825" max="13825" width="20.54296875" style="36" bestFit="1" customWidth="1"/>
    <col min="13826" max="13826" width="23.54296875" style="36" bestFit="1" customWidth="1"/>
    <col min="13827" max="13827" width="22.81640625" style="36" bestFit="1" customWidth="1"/>
    <col min="13828" max="13828" width="12.453125" style="36" bestFit="1" customWidth="1"/>
    <col min="13829" max="13829" width="16.453125" style="36" bestFit="1" customWidth="1"/>
    <col min="13830" max="13830" width="18.453125" style="36" bestFit="1" customWidth="1"/>
    <col min="13831" max="14068" width="8.7265625" style="36"/>
    <col min="14069" max="14069" width="18" style="36" bestFit="1" customWidth="1"/>
    <col min="14070" max="14070" width="24.81640625" style="36" bestFit="1" customWidth="1"/>
    <col min="14071" max="14071" width="14.7265625" style="36" bestFit="1" customWidth="1"/>
    <col min="14072" max="14072" width="17.26953125" style="36" bestFit="1" customWidth="1"/>
    <col min="14073" max="14073" width="11.81640625" style="36" bestFit="1" customWidth="1"/>
    <col min="14074" max="14074" width="14.7265625" style="36" bestFit="1" customWidth="1"/>
    <col min="14075" max="14075" width="16.1796875" style="36" bestFit="1" customWidth="1"/>
    <col min="14076" max="14076" width="15.1796875" style="36" customWidth="1"/>
    <col min="14077" max="14077" width="19.453125" style="36" bestFit="1" customWidth="1"/>
    <col min="14078" max="14078" width="19.1796875" style="36" bestFit="1" customWidth="1"/>
    <col min="14079" max="14079" width="12.81640625" style="36" customWidth="1"/>
    <col min="14080" max="14080" width="16.26953125" style="36" bestFit="1" customWidth="1"/>
    <col min="14081" max="14081" width="20.54296875" style="36" bestFit="1" customWidth="1"/>
    <col min="14082" max="14082" width="23.54296875" style="36" bestFit="1" customWidth="1"/>
    <col min="14083" max="14083" width="22.81640625" style="36" bestFit="1" customWidth="1"/>
    <col min="14084" max="14084" width="12.453125" style="36" bestFit="1" customWidth="1"/>
    <col min="14085" max="14085" width="16.453125" style="36" bestFit="1" customWidth="1"/>
    <col min="14086" max="14086" width="18.453125" style="36" bestFit="1" customWidth="1"/>
    <col min="14087" max="14324" width="8.7265625" style="36"/>
    <col min="14325" max="14325" width="18" style="36" bestFit="1" customWidth="1"/>
    <col min="14326" max="14326" width="24.81640625" style="36" bestFit="1" customWidth="1"/>
    <col min="14327" max="14327" width="14.7265625" style="36" bestFit="1" customWidth="1"/>
    <col min="14328" max="14328" width="17.26953125" style="36" bestFit="1" customWidth="1"/>
    <col min="14329" max="14329" width="11.81640625" style="36" bestFit="1" customWidth="1"/>
    <col min="14330" max="14330" width="14.7265625" style="36" bestFit="1" customWidth="1"/>
    <col min="14331" max="14331" width="16.1796875" style="36" bestFit="1" customWidth="1"/>
    <col min="14332" max="14332" width="15.1796875" style="36" customWidth="1"/>
    <col min="14333" max="14333" width="19.453125" style="36" bestFit="1" customWidth="1"/>
    <col min="14334" max="14334" width="19.1796875" style="36" bestFit="1" customWidth="1"/>
    <col min="14335" max="14335" width="12.81640625" style="36" customWidth="1"/>
    <col min="14336" max="14336" width="16.26953125" style="36" bestFit="1" customWidth="1"/>
    <col min="14337" max="14337" width="20.54296875" style="36" bestFit="1" customWidth="1"/>
    <col min="14338" max="14338" width="23.54296875" style="36" bestFit="1" customWidth="1"/>
    <col min="14339" max="14339" width="22.81640625" style="36" bestFit="1" customWidth="1"/>
    <col min="14340" max="14340" width="12.453125" style="36" bestFit="1" customWidth="1"/>
    <col min="14341" max="14341" width="16.453125" style="36" bestFit="1" customWidth="1"/>
    <col min="14342" max="14342" width="18.453125" style="36" bestFit="1" customWidth="1"/>
    <col min="14343" max="14580" width="8.7265625" style="36"/>
    <col min="14581" max="14581" width="18" style="36" bestFit="1" customWidth="1"/>
    <col min="14582" max="14582" width="24.81640625" style="36" bestFit="1" customWidth="1"/>
    <col min="14583" max="14583" width="14.7265625" style="36" bestFit="1" customWidth="1"/>
    <col min="14584" max="14584" width="17.26953125" style="36" bestFit="1" customWidth="1"/>
    <col min="14585" max="14585" width="11.81640625" style="36" bestFit="1" customWidth="1"/>
    <col min="14586" max="14586" width="14.7265625" style="36" bestFit="1" customWidth="1"/>
    <col min="14587" max="14587" width="16.1796875" style="36" bestFit="1" customWidth="1"/>
    <col min="14588" max="14588" width="15.1796875" style="36" customWidth="1"/>
    <col min="14589" max="14589" width="19.453125" style="36" bestFit="1" customWidth="1"/>
    <col min="14590" max="14590" width="19.1796875" style="36" bestFit="1" customWidth="1"/>
    <col min="14591" max="14591" width="12.81640625" style="36" customWidth="1"/>
    <col min="14592" max="14592" width="16.26953125" style="36" bestFit="1" customWidth="1"/>
    <col min="14593" max="14593" width="20.54296875" style="36" bestFit="1" customWidth="1"/>
    <col min="14594" max="14594" width="23.54296875" style="36" bestFit="1" customWidth="1"/>
    <col min="14595" max="14595" width="22.81640625" style="36" bestFit="1" customWidth="1"/>
    <col min="14596" max="14596" width="12.453125" style="36" bestFit="1" customWidth="1"/>
    <col min="14597" max="14597" width="16.453125" style="36" bestFit="1" customWidth="1"/>
    <col min="14598" max="14598" width="18.453125" style="36" bestFit="1" customWidth="1"/>
    <col min="14599" max="14836" width="8.7265625" style="36"/>
    <col min="14837" max="14837" width="18" style="36" bestFit="1" customWidth="1"/>
    <col min="14838" max="14838" width="24.81640625" style="36" bestFit="1" customWidth="1"/>
    <col min="14839" max="14839" width="14.7265625" style="36" bestFit="1" customWidth="1"/>
    <col min="14840" max="14840" width="17.26953125" style="36" bestFit="1" customWidth="1"/>
    <col min="14841" max="14841" width="11.81640625" style="36" bestFit="1" customWidth="1"/>
    <col min="14842" max="14842" width="14.7265625" style="36" bestFit="1" customWidth="1"/>
    <col min="14843" max="14843" width="16.1796875" style="36" bestFit="1" customWidth="1"/>
    <col min="14844" max="14844" width="15.1796875" style="36" customWidth="1"/>
    <col min="14845" max="14845" width="19.453125" style="36" bestFit="1" customWidth="1"/>
    <col min="14846" max="14846" width="19.1796875" style="36" bestFit="1" customWidth="1"/>
    <col min="14847" max="14847" width="12.81640625" style="36" customWidth="1"/>
    <col min="14848" max="14848" width="16.26953125" style="36" bestFit="1" customWidth="1"/>
    <col min="14849" max="14849" width="20.54296875" style="36" bestFit="1" customWidth="1"/>
    <col min="14850" max="14850" width="23.54296875" style="36" bestFit="1" customWidth="1"/>
    <col min="14851" max="14851" width="22.81640625" style="36" bestFit="1" customWidth="1"/>
    <col min="14852" max="14852" width="12.453125" style="36" bestFit="1" customWidth="1"/>
    <col min="14853" max="14853" width="16.453125" style="36" bestFit="1" customWidth="1"/>
    <col min="14854" max="14854" width="18.453125" style="36" bestFit="1" customWidth="1"/>
    <col min="14855" max="15092" width="8.7265625" style="36"/>
    <col min="15093" max="15093" width="18" style="36" bestFit="1" customWidth="1"/>
    <col min="15094" max="15094" width="24.81640625" style="36" bestFit="1" customWidth="1"/>
    <col min="15095" max="15095" width="14.7265625" style="36" bestFit="1" customWidth="1"/>
    <col min="15096" max="15096" width="17.26953125" style="36" bestFit="1" customWidth="1"/>
    <col min="15097" max="15097" width="11.81640625" style="36" bestFit="1" customWidth="1"/>
    <col min="15098" max="15098" width="14.7265625" style="36" bestFit="1" customWidth="1"/>
    <col min="15099" max="15099" width="16.1796875" style="36" bestFit="1" customWidth="1"/>
    <col min="15100" max="15100" width="15.1796875" style="36" customWidth="1"/>
    <col min="15101" max="15101" width="19.453125" style="36" bestFit="1" customWidth="1"/>
    <col min="15102" max="15102" width="19.1796875" style="36" bestFit="1" customWidth="1"/>
    <col min="15103" max="15103" width="12.81640625" style="36" customWidth="1"/>
    <col min="15104" max="15104" width="16.26953125" style="36" bestFit="1" customWidth="1"/>
    <col min="15105" max="15105" width="20.54296875" style="36" bestFit="1" customWidth="1"/>
    <col min="15106" max="15106" width="23.54296875" style="36" bestFit="1" customWidth="1"/>
    <col min="15107" max="15107" width="22.81640625" style="36" bestFit="1" customWidth="1"/>
    <col min="15108" max="15108" width="12.453125" style="36" bestFit="1" customWidth="1"/>
    <col min="15109" max="15109" width="16.453125" style="36" bestFit="1" customWidth="1"/>
    <col min="15110" max="15110" width="18.453125" style="36" bestFit="1" customWidth="1"/>
    <col min="15111" max="15348" width="8.7265625" style="36"/>
    <col min="15349" max="15349" width="18" style="36" bestFit="1" customWidth="1"/>
    <col min="15350" max="15350" width="24.81640625" style="36" bestFit="1" customWidth="1"/>
    <col min="15351" max="15351" width="14.7265625" style="36" bestFit="1" customWidth="1"/>
    <col min="15352" max="15352" width="17.26953125" style="36" bestFit="1" customWidth="1"/>
    <col min="15353" max="15353" width="11.81640625" style="36" bestFit="1" customWidth="1"/>
    <col min="15354" max="15354" width="14.7265625" style="36" bestFit="1" customWidth="1"/>
    <col min="15355" max="15355" width="16.1796875" style="36" bestFit="1" customWidth="1"/>
    <col min="15356" max="15356" width="15.1796875" style="36" customWidth="1"/>
    <col min="15357" max="15357" width="19.453125" style="36" bestFit="1" customWidth="1"/>
    <col min="15358" max="15358" width="19.1796875" style="36" bestFit="1" customWidth="1"/>
    <col min="15359" max="15359" width="12.81640625" style="36" customWidth="1"/>
    <col min="15360" max="15360" width="16.26953125" style="36" bestFit="1" customWidth="1"/>
    <col min="15361" max="15361" width="20.54296875" style="36" bestFit="1" customWidth="1"/>
    <col min="15362" max="15362" width="23.54296875" style="36" bestFit="1" customWidth="1"/>
    <col min="15363" max="15363" width="22.81640625" style="36" bestFit="1" customWidth="1"/>
    <col min="15364" max="15364" width="12.453125" style="36" bestFit="1" customWidth="1"/>
    <col min="15365" max="15365" width="16.453125" style="36" bestFit="1" customWidth="1"/>
    <col min="15366" max="15366" width="18.453125" style="36" bestFit="1" customWidth="1"/>
    <col min="15367" max="15604" width="8.7265625" style="36"/>
    <col min="15605" max="15605" width="18" style="36" bestFit="1" customWidth="1"/>
    <col min="15606" max="15606" width="24.81640625" style="36" bestFit="1" customWidth="1"/>
    <col min="15607" max="15607" width="14.7265625" style="36" bestFit="1" customWidth="1"/>
    <col min="15608" max="15608" width="17.26953125" style="36" bestFit="1" customWidth="1"/>
    <col min="15609" max="15609" width="11.81640625" style="36" bestFit="1" customWidth="1"/>
    <col min="15610" max="15610" width="14.7265625" style="36" bestFit="1" customWidth="1"/>
    <col min="15611" max="15611" width="16.1796875" style="36" bestFit="1" customWidth="1"/>
    <col min="15612" max="15612" width="15.1796875" style="36" customWidth="1"/>
    <col min="15613" max="15613" width="19.453125" style="36" bestFit="1" customWidth="1"/>
    <col min="15614" max="15614" width="19.1796875" style="36" bestFit="1" customWidth="1"/>
    <col min="15615" max="15615" width="12.81640625" style="36" customWidth="1"/>
    <col min="15616" max="15616" width="16.26953125" style="36" bestFit="1" customWidth="1"/>
    <col min="15617" max="15617" width="20.54296875" style="36" bestFit="1" customWidth="1"/>
    <col min="15618" max="15618" width="23.54296875" style="36" bestFit="1" customWidth="1"/>
    <col min="15619" max="15619" width="22.81640625" style="36" bestFit="1" customWidth="1"/>
    <col min="15620" max="15620" width="12.453125" style="36" bestFit="1" customWidth="1"/>
    <col min="15621" max="15621" width="16.453125" style="36" bestFit="1" customWidth="1"/>
    <col min="15622" max="15622" width="18.453125" style="36" bestFit="1" customWidth="1"/>
    <col min="15623" max="15860" width="8.7265625" style="36"/>
    <col min="15861" max="15861" width="18" style="36" bestFit="1" customWidth="1"/>
    <col min="15862" max="15862" width="24.81640625" style="36" bestFit="1" customWidth="1"/>
    <col min="15863" max="15863" width="14.7265625" style="36" bestFit="1" customWidth="1"/>
    <col min="15864" max="15864" width="17.26953125" style="36" bestFit="1" customWidth="1"/>
    <col min="15865" max="15865" width="11.81640625" style="36" bestFit="1" customWidth="1"/>
    <col min="15866" max="15866" width="14.7265625" style="36" bestFit="1" customWidth="1"/>
    <col min="15867" max="15867" width="16.1796875" style="36" bestFit="1" customWidth="1"/>
    <col min="15868" max="15868" width="15.1796875" style="36" customWidth="1"/>
    <col min="15869" max="15869" width="19.453125" style="36" bestFit="1" customWidth="1"/>
    <col min="15870" max="15870" width="19.1796875" style="36" bestFit="1" customWidth="1"/>
    <col min="15871" max="15871" width="12.81640625" style="36" customWidth="1"/>
    <col min="15872" max="15872" width="16.26953125" style="36" bestFit="1" customWidth="1"/>
    <col min="15873" max="15873" width="20.54296875" style="36" bestFit="1" customWidth="1"/>
    <col min="15874" max="15874" width="23.54296875" style="36" bestFit="1" customWidth="1"/>
    <col min="15875" max="15875" width="22.81640625" style="36" bestFit="1" customWidth="1"/>
    <col min="15876" max="15876" width="12.453125" style="36" bestFit="1" customWidth="1"/>
    <col min="15877" max="15877" width="16.453125" style="36" bestFit="1" customWidth="1"/>
    <col min="15878" max="15878" width="18.453125" style="36" bestFit="1" customWidth="1"/>
    <col min="15879" max="16116" width="8.7265625" style="36"/>
    <col min="16117" max="16117" width="18" style="36" bestFit="1" customWidth="1"/>
    <col min="16118" max="16118" width="24.81640625" style="36" bestFit="1" customWidth="1"/>
    <col min="16119" max="16119" width="14.7265625" style="36" bestFit="1" customWidth="1"/>
    <col min="16120" max="16120" width="17.26953125" style="36" bestFit="1" customWidth="1"/>
    <col min="16121" max="16121" width="11.81640625" style="36" bestFit="1" customWidth="1"/>
    <col min="16122" max="16122" width="14.7265625" style="36" bestFit="1" customWidth="1"/>
    <col min="16123" max="16123" width="16.1796875" style="36" bestFit="1" customWidth="1"/>
    <col min="16124" max="16124" width="15.1796875" style="36" customWidth="1"/>
    <col min="16125" max="16125" width="19.453125" style="36" bestFit="1" customWidth="1"/>
    <col min="16126" max="16126" width="19.1796875" style="36" bestFit="1" customWidth="1"/>
    <col min="16127" max="16127" width="12.81640625" style="36" customWidth="1"/>
    <col min="16128" max="16128" width="16.26953125" style="36" bestFit="1" customWidth="1"/>
    <col min="16129" max="16129" width="20.54296875" style="36" bestFit="1" customWidth="1"/>
    <col min="16130" max="16130" width="23.54296875" style="36" bestFit="1" customWidth="1"/>
    <col min="16131" max="16131" width="22.81640625" style="36" bestFit="1" customWidth="1"/>
    <col min="16132" max="16132" width="12.453125" style="36" bestFit="1" customWidth="1"/>
    <col min="16133" max="16133" width="16.453125" style="36" bestFit="1" customWidth="1"/>
    <col min="16134" max="16134" width="18.453125" style="36" bestFit="1" customWidth="1"/>
    <col min="16135" max="16384" width="8.7265625" style="36"/>
  </cols>
  <sheetData>
    <row r="1" spans="1:9" x14ac:dyDescent="0.35">
      <c r="A1" s="82"/>
      <c r="B1" s="82"/>
      <c r="C1" s="82"/>
      <c r="D1" s="82"/>
      <c r="E1" s="82"/>
      <c r="F1" s="82"/>
      <c r="G1" s="35"/>
    </row>
    <row r="2" spans="1:9" x14ac:dyDescent="0.35">
      <c r="A2" s="34"/>
      <c r="B2" s="34"/>
      <c r="C2" s="34"/>
      <c r="D2" s="34"/>
      <c r="E2" s="34"/>
      <c r="F2" s="34"/>
      <c r="G2" s="35"/>
    </row>
    <row r="3" spans="1:9" x14ac:dyDescent="0.35">
      <c r="A3" s="37"/>
      <c r="B3" s="37"/>
      <c r="C3" s="37"/>
      <c r="D3" s="37"/>
      <c r="E3" s="37"/>
      <c r="F3" s="37"/>
      <c r="G3" s="35"/>
    </row>
    <row r="4" spans="1:9" x14ac:dyDescent="0.35">
      <c r="A4" s="35"/>
      <c r="B4" s="35"/>
      <c r="C4" s="35"/>
      <c r="D4" s="38"/>
      <c r="E4" s="35"/>
      <c r="F4" s="26"/>
      <c r="G4" s="35"/>
    </row>
    <row r="5" spans="1:9" ht="15" customHeight="1" x14ac:dyDescent="0.35">
      <c r="A5" s="35"/>
      <c r="B5" s="35"/>
      <c r="C5" s="35"/>
      <c r="D5" s="35"/>
      <c r="E5" s="35"/>
      <c r="F5" s="26"/>
      <c r="G5" s="35"/>
    </row>
    <row r="6" spans="1:9" x14ac:dyDescent="0.35">
      <c r="A6" s="35"/>
      <c r="B6" s="35"/>
      <c r="C6" s="35"/>
      <c r="D6" s="35"/>
      <c r="E6" s="35"/>
      <c r="F6" s="26"/>
      <c r="G6" s="35"/>
    </row>
    <row r="7" spans="1:9" x14ac:dyDescent="0.35">
      <c r="A7" s="35"/>
      <c r="B7" s="35"/>
      <c r="C7" s="35"/>
      <c r="D7" s="35"/>
      <c r="E7" s="35"/>
      <c r="F7" s="26"/>
      <c r="G7" s="35"/>
    </row>
    <row r="8" spans="1:9" x14ac:dyDescent="0.35">
      <c r="A8" s="35"/>
      <c r="B8" s="35"/>
      <c r="C8" s="35"/>
      <c r="D8" s="35"/>
      <c r="E8" s="35"/>
      <c r="F8" s="26"/>
      <c r="G8" s="35"/>
    </row>
    <row r="9" spans="1:9" x14ac:dyDescent="0.35">
      <c r="A9" s="35"/>
      <c r="B9" s="35"/>
      <c r="C9" s="35"/>
      <c r="D9" s="35"/>
      <c r="E9" s="35"/>
      <c r="F9" s="26"/>
      <c r="G9" s="35"/>
    </row>
    <row r="10" spans="1:9" x14ac:dyDescent="0.35">
      <c r="A10" s="35"/>
      <c r="B10" s="35"/>
      <c r="C10" s="35"/>
      <c r="D10" s="35"/>
      <c r="E10" s="35"/>
      <c r="F10" s="35"/>
      <c r="G10" s="35"/>
      <c r="H10" s="35"/>
      <c r="I10" s="35"/>
    </row>
    <row r="11" spans="1:9" x14ac:dyDescent="0.35">
      <c r="A11" s="35"/>
      <c r="B11" s="35"/>
      <c r="C11" s="35"/>
      <c r="D11" s="35"/>
      <c r="E11" s="35"/>
      <c r="F11" s="35"/>
      <c r="G11" s="35"/>
      <c r="H11" s="35"/>
      <c r="I11" s="35"/>
    </row>
    <row r="12" spans="1:9" x14ac:dyDescent="0.35">
      <c r="A12" s="82"/>
      <c r="B12" s="82"/>
      <c r="C12" s="82"/>
      <c r="D12" s="82"/>
      <c r="E12" s="82"/>
      <c r="F12" s="82"/>
      <c r="G12" s="82"/>
      <c r="H12" s="82"/>
    </row>
    <row r="13" spans="1:9" x14ac:dyDescent="0.35">
      <c r="A13" s="35"/>
      <c r="B13" s="35"/>
      <c r="C13" s="35"/>
      <c r="D13" s="35"/>
      <c r="E13" s="35"/>
      <c r="F13" s="35"/>
      <c r="G13" s="35"/>
      <c r="H13" s="35"/>
      <c r="I13" s="35"/>
    </row>
    <row r="14" spans="1:9" x14ac:dyDescent="0.35">
      <c r="A14" s="82"/>
      <c r="B14" s="82"/>
      <c r="C14" s="82"/>
      <c r="D14" s="82"/>
      <c r="E14" s="82"/>
    </row>
    <row r="15" spans="1:9" x14ac:dyDescent="0.35">
      <c r="A15" s="34"/>
      <c r="B15" s="34"/>
      <c r="C15" s="34"/>
      <c r="D15" s="39"/>
      <c r="E15" s="39"/>
    </row>
    <row r="16" spans="1:9" x14ac:dyDescent="0.35">
      <c r="A16" s="40"/>
      <c r="B16" s="40"/>
      <c r="C16" s="41"/>
      <c r="D16" s="40"/>
      <c r="E16" s="40"/>
    </row>
    <row r="17" spans="1:10" x14ac:dyDescent="0.35">
      <c r="A17" s="42"/>
      <c r="B17" s="43"/>
      <c r="C17" s="43"/>
      <c r="D17" s="44"/>
      <c r="E17" s="35"/>
    </row>
    <row r="18" spans="1:10" x14ac:dyDescent="0.35">
      <c r="A18" s="35"/>
      <c r="B18" s="35"/>
      <c r="C18" s="35"/>
      <c r="D18" s="38"/>
      <c r="E18" s="35"/>
      <c r="F18" s="35"/>
      <c r="G18" s="35"/>
      <c r="H18" s="35"/>
      <c r="I18" s="35"/>
    </row>
    <row r="19" spans="1:10" x14ac:dyDescent="0.35">
      <c r="A19" s="82"/>
      <c r="B19" s="82"/>
      <c r="C19" s="82"/>
      <c r="D19" s="82"/>
      <c r="E19" s="35"/>
      <c r="F19" s="45"/>
      <c r="G19" s="46"/>
      <c r="H19" s="46"/>
    </row>
    <row r="20" spans="1:10" x14ac:dyDescent="0.35">
      <c r="A20" s="39"/>
      <c r="B20" s="39"/>
      <c r="C20" s="39"/>
      <c r="D20" s="39"/>
      <c r="E20" s="35"/>
      <c r="F20" s="40"/>
      <c r="G20" s="40"/>
      <c r="H20" s="40"/>
    </row>
    <row r="21" spans="1:10" x14ac:dyDescent="0.35">
      <c r="A21" s="40"/>
      <c r="B21" s="47"/>
      <c r="C21" s="40"/>
      <c r="D21" s="40"/>
      <c r="E21" s="35"/>
      <c r="F21" s="35"/>
      <c r="G21" s="35"/>
      <c r="H21" s="35"/>
    </row>
    <row r="22" spans="1:10" x14ac:dyDescent="0.35">
      <c r="A22" s="42"/>
      <c r="B22" s="35"/>
      <c r="C22" s="48"/>
      <c r="D22" s="35"/>
      <c r="E22" s="35"/>
    </row>
    <row r="23" spans="1:10" x14ac:dyDescent="0.35">
      <c r="A23" s="35"/>
      <c r="B23" s="35"/>
      <c r="C23" s="35"/>
      <c r="D23" s="35"/>
      <c r="E23" s="35"/>
      <c r="F23" s="35"/>
      <c r="G23" s="35"/>
      <c r="H23" s="35"/>
      <c r="I23" s="35"/>
    </row>
    <row r="24" spans="1:10" x14ac:dyDescent="0.35">
      <c r="A24" s="35"/>
      <c r="B24" s="35"/>
      <c r="C24" s="35"/>
      <c r="D24" s="35"/>
      <c r="E24" s="35"/>
      <c r="F24" s="35"/>
      <c r="G24" s="35"/>
      <c r="H24" s="35"/>
      <c r="I24" s="35"/>
    </row>
    <row r="25" spans="1:10" x14ac:dyDescent="0.35">
      <c r="A25" s="83"/>
      <c r="B25" s="83"/>
      <c r="C25" s="83"/>
      <c r="D25" s="83"/>
      <c r="E25" s="83"/>
      <c r="F25" s="83"/>
      <c r="G25" s="83"/>
      <c r="H25" s="83"/>
      <c r="I25" s="35"/>
    </row>
    <row r="26" spans="1:10" ht="16.5" customHeight="1" x14ac:dyDescent="0.35">
      <c r="A26" s="45"/>
      <c r="B26" s="45"/>
      <c r="C26" s="45"/>
      <c r="D26" s="45"/>
      <c r="E26" s="45"/>
      <c r="F26" s="45"/>
      <c r="G26" s="45"/>
      <c r="H26" s="45"/>
      <c r="I26" s="35"/>
    </row>
    <row r="27" spans="1:10" x14ac:dyDescent="0.35">
      <c r="A27" s="45"/>
      <c r="B27" s="45"/>
      <c r="C27" s="45"/>
      <c r="D27" s="45"/>
      <c r="E27" s="45"/>
      <c r="F27" s="45"/>
      <c r="G27" s="45"/>
      <c r="H27" s="45"/>
      <c r="I27" s="35"/>
    </row>
    <row r="28" spans="1:10" s="46" customFormat="1" ht="14" x14ac:dyDescent="0.3">
      <c r="A28" s="49"/>
      <c r="C28" s="50"/>
      <c r="D28" s="50"/>
      <c r="F28" s="51"/>
      <c r="J28" s="49"/>
    </row>
    <row r="29" spans="1:10" s="46" customFormat="1" ht="14" x14ac:dyDescent="0.3">
      <c r="A29" s="49"/>
      <c r="C29" s="50"/>
      <c r="D29" s="50"/>
      <c r="F29" s="51"/>
    </row>
    <row r="30" spans="1:10" s="46" customFormat="1" ht="14" x14ac:dyDescent="0.3">
      <c r="A30" s="49"/>
      <c r="C30" s="50"/>
      <c r="D30" s="50"/>
      <c r="F30" s="51"/>
    </row>
    <row r="31" spans="1:10" s="46" customFormat="1" ht="14" x14ac:dyDescent="0.3">
      <c r="A31" s="49"/>
      <c r="C31" s="50"/>
      <c r="D31" s="50"/>
      <c r="F31" s="51"/>
    </row>
    <row r="32" spans="1:10" s="46" customFormat="1" ht="14" x14ac:dyDescent="0.3">
      <c r="A32" s="49"/>
      <c r="C32" s="50"/>
      <c r="D32" s="50"/>
      <c r="F32" s="51"/>
    </row>
    <row r="33" spans="1:6" s="46" customFormat="1" ht="14" x14ac:dyDescent="0.3">
      <c r="A33" s="49"/>
      <c r="C33" s="50"/>
      <c r="D33" s="50"/>
      <c r="F33" s="51"/>
    </row>
    <row r="34" spans="1:6" s="46" customFormat="1" ht="14" x14ac:dyDescent="0.3">
      <c r="A34" s="49"/>
      <c r="C34" s="50"/>
      <c r="D34" s="50"/>
      <c r="F34" s="51"/>
    </row>
    <row r="35" spans="1:6" s="46" customFormat="1" ht="14" x14ac:dyDescent="0.3">
      <c r="A35" s="49"/>
      <c r="C35" s="50"/>
      <c r="D35" s="50"/>
      <c r="F35" s="51"/>
    </row>
    <row r="36" spans="1:6" s="46" customFormat="1" ht="14" x14ac:dyDescent="0.3">
      <c r="A36" s="49"/>
      <c r="C36" s="50"/>
      <c r="D36" s="50"/>
      <c r="F36" s="51"/>
    </row>
    <row r="37" spans="1:6" s="46" customFormat="1" ht="14" x14ac:dyDescent="0.3">
      <c r="A37" s="49"/>
      <c r="C37" s="50"/>
      <c r="D37" s="50"/>
      <c r="F37" s="51"/>
    </row>
    <row r="38" spans="1:6" s="46" customFormat="1" ht="14" x14ac:dyDescent="0.3">
      <c r="A38" s="49"/>
      <c r="C38" s="50"/>
      <c r="D38" s="50"/>
      <c r="F38" s="51"/>
    </row>
    <row r="39" spans="1:6" s="46" customFormat="1" ht="14" x14ac:dyDescent="0.3">
      <c r="A39" s="49"/>
      <c r="C39" s="50"/>
      <c r="D39" s="50"/>
      <c r="F39" s="51"/>
    </row>
    <row r="40" spans="1:6" s="46" customFormat="1" ht="14" x14ac:dyDescent="0.3">
      <c r="A40" s="49"/>
      <c r="C40" s="50"/>
      <c r="D40" s="50"/>
      <c r="F40" s="51"/>
    </row>
    <row r="41" spans="1:6" s="46" customFormat="1" ht="14" x14ac:dyDescent="0.3">
      <c r="A41" s="49"/>
      <c r="C41" s="50"/>
      <c r="D41" s="50"/>
      <c r="F41" s="51"/>
    </row>
    <row r="42" spans="1:6" s="46" customFormat="1" ht="14" x14ac:dyDescent="0.3">
      <c r="A42" s="49"/>
      <c r="C42" s="50"/>
      <c r="D42" s="50"/>
      <c r="F42" s="51"/>
    </row>
    <row r="43" spans="1:6" s="46" customFormat="1" ht="14" x14ac:dyDescent="0.3">
      <c r="A43" s="49"/>
      <c r="C43" s="50"/>
      <c r="D43" s="50"/>
      <c r="F43" s="51"/>
    </row>
    <row r="44" spans="1:6" s="46" customFormat="1" ht="14" x14ac:dyDescent="0.3">
      <c r="A44" s="49"/>
      <c r="C44" s="50"/>
      <c r="D44" s="50"/>
      <c r="F44" s="51"/>
    </row>
    <row r="45" spans="1:6" s="46" customFormat="1" ht="14" x14ac:dyDescent="0.3">
      <c r="A45" s="49"/>
      <c r="C45" s="50"/>
      <c r="D45" s="50"/>
      <c r="F45" s="51"/>
    </row>
    <row r="46" spans="1:6" s="46" customFormat="1" ht="14" x14ac:dyDescent="0.3">
      <c r="A46" s="49"/>
      <c r="C46" s="50"/>
      <c r="D46" s="50"/>
      <c r="F46" s="51"/>
    </row>
    <row r="47" spans="1:6" s="46" customFormat="1" ht="14" x14ac:dyDescent="0.3">
      <c r="A47" s="49"/>
      <c r="C47" s="50"/>
      <c r="D47" s="50"/>
      <c r="F47" s="51"/>
    </row>
    <row r="48" spans="1:6" s="46" customFormat="1" ht="14" x14ac:dyDescent="0.3">
      <c r="A48" s="49"/>
      <c r="C48" s="50"/>
      <c r="D48" s="50"/>
      <c r="F48" s="51"/>
    </row>
    <row r="49" spans="1:9" s="46" customFormat="1" ht="14" x14ac:dyDescent="0.3">
      <c r="A49" s="49"/>
      <c r="C49" s="50"/>
      <c r="D49" s="50"/>
      <c r="F49" s="51"/>
    </row>
    <row r="50" spans="1:9" s="46" customFormat="1" ht="14" x14ac:dyDescent="0.3">
      <c r="A50" s="49"/>
      <c r="C50" s="50"/>
      <c r="D50" s="50"/>
      <c r="F50" s="51"/>
    </row>
    <row r="51" spans="1:9" s="46" customFormat="1" ht="14" x14ac:dyDescent="0.3">
      <c r="A51" s="49"/>
      <c r="C51" s="50"/>
      <c r="D51" s="50"/>
      <c r="F51" s="51"/>
    </row>
    <row r="52" spans="1:9" s="46" customFormat="1" ht="14" x14ac:dyDescent="0.3">
      <c r="A52" s="49"/>
      <c r="C52" s="50"/>
      <c r="D52" s="50"/>
      <c r="F52" s="51"/>
    </row>
    <row r="53" spans="1:9" s="46" customFormat="1" ht="14" x14ac:dyDescent="0.3">
      <c r="A53" s="49"/>
      <c r="C53" s="50"/>
      <c r="D53" s="50"/>
      <c r="F53" s="51"/>
    </row>
    <row r="54" spans="1:9" s="46" customFormat="1" ht="14" x14ac:dyDescent="0.3">
      <c r="A54" s="49"/>
      <c r="C54" s="50"/>
      <c r="D54" s="50"/>
      <c r="F54" s="51"/>
    </row>
    <row r="55" spans="1:9" s="46" customFormat="1" ht="14" x14ac:dyDescent="0.3">
      <c r="A55" s="49"/>
      <c r="C55" s="50"/>
      <c r="D55" s="50"/>
      <c r="F55" s="51"/>
    </row>
    <row r="56" spans="1:9" s="46" customFormat="1" ht="14" x14ac:dyDescent="0.3">
      <c r="A56" s="49"/>
      <c r="C56" s="50"/>
      <c r="D56" s="50"/>
      <c r="F56" s="51"/>
    </row>
    <row r="57" spans="1:9" s="46" customFormat="1" ht="14" x14ac:dyDescent="0.3">
      <c r="A57" s="49"/>
      <c r="C57" s="50"/>
      <c r="D57" s="50"/>
      <c r="F57" s="51"/>
    </row>
    <row r="58" spans="1:9" s="46" customFormat="1" ht="14" x14ac:dyDescent="0.3">
      <c r="A58" s="49"/>
      <c r="C58" s="50"/>
      <c r="D58" s="50"/>
      <c r="F58" s="51"/>
    </row>
    <row r="59" spans="1:9" s="46" customFormat="1" ht="14" x14ac:dyDescent="0.3">
      <c r="A59" s="49"/>
      <c r="C59" s="50"/>
      <c r="D59" s="50"/>
      <c r="F59" s="51"/>
    </row>
    <row r="60" spans="1:9" x14ac:dyDescent="0.35">
      <c r="A60" s="48"/>
      <c r="B60" s="48"/>
      <c r="C60" s="35"/>
      <c r="D60" s="35"/>
      <c r="E60" s="35"/>
      <c r="F60" s="35"/>
      <c r="G60" s="35"/>
      <c r="H60" s="35"/>
      <c r="I60" s="35"/>
    </row>
    <row r="61" spans="1:9" x14ac:dyDescent="0.35">
      <c r="A61" s="35"/>
      <c r="B61" s="35"/>
      <c r="C61" s="35"/>
      <c r="D61" s="35"/>
      <c r="E61" s="35"/>
      <c r="F61" s="35"/>
      <c r="G61" s="35"/>
      <c r="H61" s="35"/>
      <c r="I61" s="35"/>
    </row>
    <row r="62" spans="1:9" x14ac:dyDescent="0.35">
      <c r="A62" s="35"/>
      <c r="B62" s="35"/>
      <c r="C62" s="35"/>
      <c r="D62" s="35"/>
      <c r="E62" s="35"/>
      <c r="F62" s="35"/>
      <c r="G62" s="35"/>
      <c r="H62" s="35"/>
      <c r="I62" s="35"/>
    </row>
    <row r="63" spans="1:9" x14ac:dyDescent="0.35">
      <c r="A63" s="35"/>
      <c r="B63" s="35"/>
      <c r="C63" s="35"/>
      <c r="D63" s="35"/>
      <c r="E63" s="35"/>
      <c r="F63" s="35"/>
      <c r="G63" s="35"/>
      <c r="H63" s="35"/>
      <c r="I63" s="35"/>
    </row>
    <row r="64" spans="1:9" x14ac:dyDescent="0.35">
      <c r="A64" s="35"/>
      <c r="B64" s="35"/>
      <c r="C64" s="35"/>
      <c r="D64" s="35"/>
      <c r="E64" s="35"/>
      <c r="F64" s="35"/>
      <c r="G64" s="35"/>
      <c r="H64" s="35"/>
      <c r="I64" s="35"/>
    </row>
    <row r="65" spans="1:9" x14ac:dyDescent="0.35">
      <c r="A65" s="35"/>
      <c r="B65" s="35"/>
      <c r="C65" s="35"/>
      <c r="D65" s="35"/>
      <c r="E65" s="35"/>
      <c r="F65" s="35"/>
      <c r="G65" s="35"/>
      <c r="H65" s="35"/>
      <c r="I65" s="35"/>
    </row>
    <row r="66" spans="1:9" x14ac:dyDescent="0.35">
      <c r="A66" s="35"/>
      <c r="B66" s="35"/>
      <c r="C66" s="35"/>
      <c r="D66" s="35"/>
      <c r="E66" s="35"/>
      <c r="F66" s="35"/>
      <c r="G66" s="35"/>
      <c r="H66" s="35"/>
      <c r="I66" s="35"/>
    </row>
    <row r="67" spans="1:9" x14ac:dyDescent="0.35">
      <c r="A67" s="35"/>
      <c r="B67" s="35"/>
      <c r="C67" s="35"/>
      <c r="D67" s="35"/>
      <c r="E67" s="35"/>
      <c r="F67" s="35"/>
      <c r="G67" s="35"/>
      <c r="H67" s="35"/>
      <c r="I67" s="35"/>
    </row>
    <row r="68" spans="1:9" x14ac:dyDescent="0.35">
      <c r="A68" s="35"/>
      <c r="B68" s="35"/>
      <c r="C68" s="35"/>
      <c r="D68" s="35"/>
      <c r="E68" s="35"/>
      <c r="F68" s="35"/>
      <c r="G68" s="35"/>
      <c r="H68" s="35"/>
      <c r="I68" s="35"/>
    </row>
    <row r="69" spans="1:9" x14ac:dyDescent="0.35">
      <c r="A69" s="35"/>
      <c r="B69" s="35"/>
      <c r="C69" s="35"/>
      <c r="D69" s="35"/>
      <c r="E69" s="35"/>
      <c r="F69" s="35"/>
      <c r="G69" s="35"/>
      <c r="H69" s="35"/>
      <c r="I69" s="35"/>
    </row>
    <row r="70" spans="1:9" x14ac:dyDescent="0.35">
      <c r="A70" s="35"/>
      <c r="B70" s="35"/>
      <c r="C70" s="35"/>
      <c r="D70" s="35"/>
      <c r="E70" s="35"/>
      <c r="F70" s="35"/>
      <c r="G70" s="35"/>
      <c r="H70" s="35"/>
      <c r="I70" s="35"/>
    </row>
    <row r="71" spans="1:9" x14ac:dyDescent="0.35">
      <c r="A71" s="35"/>
      <c r="B71" s="35"/>
      <c r="C71" s="35"/>
      <c r="D71" s="35"/>
      <c r="E71" s="35"/>
      <c r="F71" s="35"/>
      <c r="G71" s="35"/>
      <c r="H71" s="35"/>
      <c r="I71" s="35"/>
    </row>
  </sheetData>
  <mergeCells count="5">
    <mergeCell ref="A19:D19"/>
    <mergeCell ref="A1:F1"/>
    <mergeCell ref="A12:H12"/>
    <mergeCell ref="A14:E14"/>
    <mergeCell ref="A25:H2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EAF28-5277-481E-A765-FD10AF7820C3}">
  <dimension ref="A1:F3"/>
  <sheetViews>
    <sheetView zoomScale="85" zoomScaleNormal="85" workbookViewId="0">
      <selection activeCell="B35" sqref="B35"/>
    </sheetView>
  </sheetViews>
  <sheetFormatPr defaultRowHeight="14.5" x14ac:dyDescent="0.35"/>
  <cols>
    <col min="1" max="1" width="28.90625" bestFit="1" customWidth="1"/>
    <col min="2" max="2" width="30.81640625" bestFit="1" customWidth="1"/>
    <col min="3" max="3" width="11.1796875" bestFit="1" customWidth="1"/>
    <col min="4" max="4" width="16.453125" customWidth="1"/>
    <col min="6" max="6" width="30.1796875" customWidth="1"/>
  </cols>
  <sheetData>
    <row r="1" spans="1:6" s="4" customFormat="1" ht="94.5" customHeight="1" x14ac:dyDescent="0.35">
      <c r="A1" s="73" t="s">
        <v>108</v>
      </c>
      <c r="B1" s="74"/>
      <c r="C1" s="74"/>
      <c r="D1" s="74"/>
      <c r="E1" s="75"/>
      <c r="F1" s="54" t="s">
        <v>67</v>
      </c>
    </row>
    <row r="2" spans="1:6" x14ac:dyDescent="0.35">
      <c r="A2" s="62" t="s">
        <v>0</v>
      </c>
      <c r="B2" s="62" t="s">
        <v>1</v>
      </c>
      <c r="C2" s="62" t="s">
        <v>2</v>
      </c>
      <c r="D2" s="62" t="s">
        <v>3</v>
      </c>
      <c r="E2" s="62" t="s">
        <v>4</v>
      </c>
    </row>
    <row r="3" spans="1:6" x14ac:dyDescent="0.35">
      <c r="A3" t="e" cm="1">
        <f t="array" ref="A3">INDEX(Property!A:A, MATCH("Prop Code", Property!A:A, 0) + 1)</f>
        <v>#N/A</v>
      </c>
      <c r="B3" t="e" cm="1">
        <f t="array" ref="B3">IFERROR(
    INDEX(Property!B:B, MATCH("Address", Property!B:B, 0) + 1),
    INDEX(Property!D:D, MATCH("Address", Property!D:D, 0) + 1)
)</f>
        <v>#N/A</v>
      </c>
      <c r="C3" t="e" cm="1">
        <f t="array" ref="C3">IFERROR(
    INDEX(Property!C:C, MATCH("City ", Property!C:C, 0) + 1),
    INDEX(Property!E:E, MATCH("City ", Property!E:E, 0) + 1)
)</f>
        <v>#N/A</v>
      </c>
      <c r="D3" t="e" cm="1">
        <f t="array" ref="D3">IFERROR(
    INDEX(Property!D:D, MATCH("State", Property!D:D, 0) + 1),
    INDEX(Property!F:F, MATCH("State", Property!F:F, 0) + 1)
)</f>
        <v>#N/A</v>
      </c>
      <c r="E3" t="e" cm="1">
        <f t="array" ref="E3">IFERROR(
    INDEX(Property!E:E, MATCH("Zip Code", Property!E:E, 0) + 1),
    INDEX(Property!G:G, MATCH("Zip Code", Property!G:G, 0) + 1)
)</f>
        <v>#N/A</v>
      </c>
    </row>
  </sheetData>
  <mergeCells count="1">
    <mergeCell ref="A1:E1"/>
  </mergeCells>
  <conditionalFormatting sqref="A3:E3">
    <cfRule type="expression" dxfId="15" priority="1">
      <formula>ISERROR(A$3)</formula>
    </cfRule>
    <cfRule type="expression" dxfId="14" priority="2">
      <formula>OR(A$3="",A$3="NA",A$3="N/A")</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8A8C2-068E-4C8C-AA11-08B3E70840F0}">
  <dimension ref="A1:X3"/>
  <sheetViews>
    <sheetView zoomScale="85" zoomScaleNormal="85" workbookViewId="0">
      <selection activeCell="F3" sqref="F3"/>
    </sheetView>
  </sheetViews>
  <sheetFormatPr defaultRowHeight="14.5" x14ac:dyDescent="0.35"/>
  <cols>
    <col min="1" max="1" width="13.81640625" customWidth="1"/>
    <col min="2" max="2" width="15.54296875" bestFit="1" customWidth="1"/>
    <col min="3" max="3" width="9.90625" bestFit="1" customWidth="1"/>
    <col min="4" max="4" width="12.81640625" bestFit="1" customWidth="1"/>
    <col min="5" max="5" width="16.54296875" customWidth="1"/>
    <col min="6" max="6" width="16.1796875" customWidth="1"/>
    <col min="7" max="7" width="20.26953125" customWidth="1"/>
    <col min="8" max="8" width="13.36328125" customWidth="1"/>
    <col min="9" max="9" width="12.81640625" bestFit="1" customWidth="1"/>
    <col min="10" max="10" width="13.453125" bestFit="1" customWidth="1"/>
    <col min="14" max="14" width="12.453125" bestFit="1" customWidth="1"/>
    <col min="15" max="15" width="11.81640625" bestFit="1" customWidth="1"/>
    <col min="16" max="16" width="11.26953125" bestFit="1" customWidth="1"/>
    <col min="17" max="17" width="15.6328125" bestFit="1" customWidth="1"/>
    <col min="18" max="18" width="17.54296875" bestFit="1" customWidth="1"/>
    <col min="19" max="19" width="14.81640625" bestFit="1" customWidth="1"/>
    <col min="22" max="22" width="10.1796875" bestFit="1" customWidth="1"/>
    <col min="23" max="23" width="9.6328125" bestFit="1" customWidth="1"/>
    <col min="24" max="24" width="20.6328125" customWidth="1"/>
  </cols>
  <sheetData>
    <row r="1" spans="1:24" ht="36.5" customHeight="1" x14ac:dyDescent="0.35">
      <c r="A1" s="73" t="s">
        <v>109</v>
      </c>
      <c r="B1" s="74"/>
      <c r="C1" s="74"/>
      <c r="D1" s="74"/>
      <c r="E1" s="74"/>
      <c r="F1" s="74"/>
      <c r="G1" s="74"/>
      <c r="H1" s="74"/>
      <c r="I1" s="74"/>
      <c r="J1" s="74"/>
      <c r="K1" s="74"/>
      <c r="L1" s="74"/>
      <c r="M1" s="74"/>
      <c r="N1" s="74"/>
      <c r="O1" s="74"/>
      <c r="P1" s="74"/>
      <c r="Q1" s="74"/>
      <c r="R1" s="74"/>
      <c r="S1" s="74"/>
      <c r="T1" s="74"/>
      <c r="U1" s="74"/>
      <c r="V1" s="74"/>
      <c r="W1" s="75"/>
      <c r="X1" s="55" t="s">
        <v>67</v>
      </c>
    </row>
    <row r="2" spans="1:24" x14ac:dyDescent="0.35">
      <c r="A2" s="62" t="s">
        <v>0</v>
      </c>
      <c r="B2" s="62" t="s">
        <v>5</v>
      </c>
      <c r="C2" s="62" t="s">
        <v>6</v>
      </c>
      <c r="D2" s="62" t="s">
        <v>7</v>
      </c>
      <c r="E2" s="62" t="s">
        <v>8</v>
      </c>
      <c r="F2" s="62" t="s">
        <v>9</v>
      </c>
      <c r="G2" s="62" t="s">
        <v>10</v>
      </c>
      <c r="H2" s="62" t="s">
        <v>11</v>
      </c>
      <c r="I2" s="62" t="s">
        <v>12</v>
      </c>
      <c r="J2" s="62" t="s">
        <v>38</v>
      </c>
      <c r="K2" s="62" t="s">
        <v>39</v>
      </c>
      <c r="L2" s="62" t="s">
        <v>40</v>
      </c>
      <c r="M2" s="62" t="s">
        <v>41</v>
      </c>
      <c r="N2" s="62" t="s">
        <v>42</v>
      </c>
      <c r="O2" s="62" t="s">
        <v>43</v>
      </c>
      <c r="P2" s="62" t="s">
        <v>44</v>
      </c>
      <c r="Q2" s="62" t="s">
        <v>45</v>
      </c>
      <c r="R2" s="62" t="s">
        <v>46</v>
      </c>
      <c r="S2" s="62" t="s">
        <v>47</v>
      </c>
      <c r="T2" s="62" t="s">
        <v>48</v>
      </c>
      <c r="U2" s="62" t="s">
        <v>49</v>
      </c>
      <c r="V2" s="62" t="s">
        <v>50</v>
      </c>
      <c r="W2" s="62" t="s">
        <v>91</v>
      </c>
    </row>
    <row r="3" spans="1:24" x14ac:dyDescent="0.35">
      <c r="A3" t="e" cm="1">
        <f t="array" ref="A3">INDEX(Property!A:A, MATCH("Prop Code", Property!A:A, 0) + 1)</f>
        <v>#N/A</v>
      </c>
      <c r="B3" t="e" cm="1">
        <f t="array" ref="B3">IFERROR(
    INDEX(Property!C:C, MATCH("County", Property!C:C, 0) + 1),
    INDEX(Property!I:I, MATCH("County", Property!I:I, 0) + 1)
)</f>
        <v>#N/A</v>
      </c>
      <c r="C3" t="e" cm="1">
        <f t="array" ref="C3">IFERROR(INDEX(Property!D:D,MATCH("Year Built",Property!D:D,0)+1), INDEX(Property!H:H,MATCH("Year Built",Property!H:H,0)+1))</f>
        <v>#N/A</v>
      </c>
      <c r="D3" t="e" cm="1">
        <f t="array" ref="D3">INDEX(Property!E:E,MATCH("Hard Debt",Property!E:E,0)+1)</f>
        <v>#N/A</v>
      </c>
      <c r="E3" t="e" cm="1">
        <f t="array" ref="E3">IFERROR(INDEX(Property!F:F,MATCH("Property Status",Property!F:F,0)+1), INDEX(Property!J:J,MATCH("Property Status",Property!J:J,0)+1))</f>
        <v>#N/A</v>
      </c>
      <c r="F3" t="e" cm="1">
        <f t="array" ref="F3">IFERROR(INDEX(Property!G:G,MATCH("Tenancy Type",Property!G:G,0)+1), INDEX(Property!C:C,MATCH("Tenancy Type",Property!C:C,0)+1))</f>
        <v>#N/A</v>
      </c>
      <c r="G3" t="e" cm="1">
        <f t="array" ref="G3">IFERROR(INDEX(Property!H:H,MATCH("Dev Type",Property!H:H,0)+1), INDEX(Property!A:A,MATCH("Dev Type",Property!A:A,0)+1))</f>
        <v>#N/A</v>
      </c>
      <c r="H3" t="e" cm="1">
        <f t="array" ref="H3">IFERROR(INDEX(Property!I:I,MATCH("Location Code",Property!I:I,0)+1), INDEX(Property!B:B,MATCH("Location Code",Property!B:B,0)+1))</f>
        <v>#N/A</v>
      </c>
      <c r="I3" t="e" cm="1">
        <f t="array" ref="I3">INDEX(Property!J:J,MATCH("Underwritting Score",Property!J:J,0)+1)</f>
        <v>#N/A</v>
      </c>
      <c r="J3" t="e" cm="1">
        <f t="array" ref="J3">INDEX(Property!K:K,MATCH("Subsidy",Property!K:K,0)+1)</f>
        <v>#N/A</v>
      </c>
      <c r="K3" t="e" cm="1">
        <f t="array" ref="K3">INDEX(Property!L:L,MATCH("% of Units",Property!L:L,0)+1)</f>
        <v>#N/A</v>
      </c>
      <c r="L3" t="e" cm="1">
        <f t="array" ref="L3">INDEX(Property!M:M,MATCH("TC Bond Deal",Property!M:M,0)+1)</f>
        <v>#N/A</v>
      </c>
      <c r="M3" t="e" cm="1">
        <f t="array" ref="M3">INDEX(Property!N:N,MATCH("Breakeven Occupancy",Property!N:N,0)+1)</f>
        <v>#N/A</v>
      </c>
      <c r="N3" t="e" cm="1">
        <f t="array" ref="N3">INDEX(Property!O:O,MATCH("Discount to LIHTC Max",Property!O:O,0)+1)</f>
        <v>#N/A</v>
      </c>
      <c r="O3" t="e" cm="1">
        <f t="array" ref="O3">INDEX(Property!P:P,MATCH("Discount to Market Rent",Property!P:P,0)+1)</f>
        <v>#N/A</v>
      </c>
      <c r="P3" t="e" cm="1">
        <f t="array" ref="P3">INDEX(Property!Q:Q,MATCH("Capture Rate",Property!Q:Q,0)+1)</f>
        <v>#N/A</v>
      </c>
      <c r="Q3" t="e" cm="1">
        <f t="array" ref="Q3">INDEX(Property!R:R,MATCH("Hard Costs",Property!R:R,0)+1)</f>
        <v>#N/A</v>
      </c>
      <c r="R3" t="e" cm="1">
        <f t="array" ref="R3">INDEX(Property!S:S,MATCH("Expense PUPA",Property!S:S,0)+1)</f>
        <v>#N/A</v>
      </c>
      <c r="S3" t="e" cm="1">
        <f t="array" ref="S3">IFERROR(
    INDEX(Property!T:T, MATCH("Asset Manager",Property!T:T,0)+1),
    IFERROR(
        INDEX(Property!D:D, MATCH("Asset Manager",Property!D:D,0)+1),
        INDEX(Property!E:E, MATCH("Asset Manager",Property!E:E,0)+1)
    )
)</f>
        <v>#N/A</v>
      </c>
      <c r="T3" t="e" cm="1">
        <f t="array" ref="T3">INDEX(Property!U:U,MATCH("Target Unit Designation Avg",Property!U:U,0)+1)</f>
        <v>#N/A</v>
      </c>
      <c r="U3" t="e" cm="1">
        <f t="array" ref="U3">INDEX(Property!V:V,MATCH("Addt'l Third-Party Compliance",Property!V:V,0)+1)</f>
        <v>#N/A</v>
      </c>
      <c r="V3" t="e" cm="1">
        <f t="array" ref="V3">INDEX(Property!W:W,MATCH("Basis on Which Set-Aside is Applied",Property!W:W,0)+1)</f>
        <v>#N/A</v>
      </c>
      <c r="W3" t="e" cm="1">
        <f t="array" ref="W3">INDEX(Property!K:K,MATCH("MSA Type",Property!K:K,0)+1)</f>
        <v>#N/A</v>
      </c>
    </row>
  </sheetData>
  <mergeCells count="1">
    <mergeCell ref="A1:W1"/>
  </mergeCells>
  <conditionalFormatting sqref="A3:W3">
    <cfRule type="expression" dxfId="13" priority="1">
      <formula>ISERROR(A$3)</formula>
    </cfRule>
    <cfRule type="expression" dxfId="12" priority="2">
      <formula>OR(A$3="",A$3="NA",A$3="N/A")</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077CD-677E-4056-82B2-E5C47A4265D5}">
  <dimension ref="A1:I22"/>
  <sheetViews>
    <sheetView zoomScale="85" zoomScaleNormal="85" workbookViewId="0">
      <selection activeCell="H11" sqref="H11"/>
    </sheetView>
  </sheetViews>
  <sheetFormatPr defaultRowHeight="14.5" x14ac:dyDescent="0.35"/>
  <cols>
    <col min="2" max="2" width="24.81640625" bestFit="1" customWidth="1"/>
    <col min="3" max="3" width="20.08984375" customWidth="1"/>
    <col min="4" max="4" width="25.7265625" style="2" customWidth="1"/>
    <col min="5" max="5" width="41.08984375" customWidth="1"/>
    <col min="6" max="6" width="17.36328125" customWidth="1"/>
    <col min="9" max="9" width="10.7265625" bestFit="1" customWidth="1"/>
  </cols>
  <sheetData>
    <row r="1" spans="1:9" ht="171" customHeight="1" x14ac:dyDescent="0.35">
      <c r="A1" s="73" t="s">
        <v>111</v>
      </c>
      <c r="B1" s="74"/>
      <c r="C1" s="74"/>
      <c r="D1" s="74"/>
      <c r="E1" s="75"/>
      <c r="F1" s="56" t="s">
        <v>67</v>
      </c>
      <c r="G1" s="4"/>
      <c r="I1" s="2"/>
    </row>
    <row r="2" spans="1:9" s="1" customFormat="1" x14ac:dyDescent="0.35">
      <c r="A2" s="62" t="s">
        <v>13</v>
      </c>
      <c r="B2" s="62" t="s">
        <v>14</v>
      </c>
      <c r="C2" s="62" t="s">
        <v>15</v>
      </c>
      <c r="D2" s="63" t="s">
        <v>16</v>
      </c>
      <c r="E2" s="62" t="s">
        <v>51</v>
      </c>
    </row>
    <row r="3" spans="1:9" x14ac:dyDescent="0.35">
      <c r="A3" s="19" t="e" cm="1" vm="1">
        <f t="array" ref="A3">_xlfn._xlws.FILTER(Property!A:C, ISNUMBER(MATCH(Property!B:B, {"Total Fed Historic","Total Fed LIHTC","Total State Historic","Total State LIHTC","Proforma DCR","Inv. Rec. Commitment","Equity to Total Cost","Hard Debt to Total Cost","Total Guarantor Net Worth","Total Guarantor Liquidity","Hard Costs Per Unit","Orig. Operating Reserve","Orig. Other Reserve","Annual Operating Expense","Annual Debt Service","Fed Remaining Credits","State Remaining Credits","Total Fed Solar Credits","Total State Solar","Total State Certificated"},0)))</f>
        <v>#VALUE!</v>
      </c>
      <c r="C3" s="5"/>
      <c r="D3" s="22" cm="1">
        <f t="array" aca="1" ref="D3:D22" ca="1">_xlfn.LET(
_xlpm.eff, IFERROR(INDEX(Property!D:D, MATCH("Effective Date (Date of upload or close date)", Property!D:D, 0) + _xlfn.SEQUENCE(20)), ""),
_xlpm.close, IFERROR(INDEX(Property!D:D, MATCH("Closing Date", Property!D:D, 0) + 1), ""),
_xlpm.fallback, IF((_xlpm.close=0)+(_xlpm.close="")+(_xlpm.close="NA")+ISNA(_xlpm.close)+(_xlpm.close=DATE(1900,1,0)), TODAY(), _xlpm.close),
IF((_xlpm.eff=0)+(_xlpm.eff="")+(_xlpm.eff="NA")+ISNA(_xlpm.eff)+(_xlpm.eff=DATE(1900,1,0)), _xlpm.fallback + 0*_xlfn.SEQUENCE(20), _xlpm.eff)
)</f>
        <v>46232</v>
      </c>
      <c r="E3" s="31" t="str" cm="1">
        <f t="array" ref="E3:E22">_xlfn.LET(
_xlpm.primary, IFERROR(INDEX(Property!E:E, MATCH("Fund Code", Property!E:E, 0) + _xlfn.SEQUENCE(20)), ""),
_xlpm.fallback, IFERROR(INDEX(Property!A:A, MATCH("Fund", Property!A:A, 0) + 1), ""),
IF((_xlpm.primary=0)+(_xlpm.primary="")+(_xlpm.primary="NA")+(_xlpm.primary="#N/A"),
_xlpm.fallback,
_xlpm.primary)
)</f>
        <v/>
      </c>
    </row>
    <row r="4" spans="1:9" x14ac:dyDescent="0.35">
      <c r="A4" s="18"/>
      <c r="C4" s="5"/>
      <c r="D4" s="2">
        <f ca="1"/>
        <v>46232</v>
      </c>
      <c r="E4" s="21" t="str">
        <v/>
      </c>
    </row>
    <row r="5" spans="1:9" x14ac:dyDescent="0.35">
      <c r="A5" s="18"/>
      <c r="C5" s="5"/>
      <c r="D5" s="2">
        <f ca="1"/>
        <v>46232</v>
      </c>
      <c r="E5" s="21" t="str">
        <v/>
      </c>
    </row>
    <row r="6" spans="1:9" x14ac:dyDescent="0.35">
      <c r="A6" s="18"/>
      <c r="C6" s="5"/>
      <c r="D6" s="2">
        <f ca="1"/>
        <v>46232</v>
      </c>
      <c r="E6" s="21" t="str">
        <v/>
      </c>
    </row>
    <row r="7" spans="1:9" x14ac:dyDescent="0.35">
      <c r="A7" s="18"/>
      <c r="C7" s="5"/>
      <c r="D7" s="2">
        <f ca="1"/>
        <v>46232</v>
      </c>
      <c r="E7" s="21" t="str">
        <v/>
      </c>
    </row>
    <row r="8" spans="1:9" x14ac:dyDescent="0.35">
      <c r="A8" s="18"/>
      <c r="C8" s="5"/>
      <c r="D8" s="2">
        <f ca="1"/>
        <v>46232</v>
      </c>
      <c r="E8" s="21" t="str">
        <v/>
      </c>
    </row>
    <row r="9" spans="1:9" x14ac:dyDescent="0.35">
      <c r="A9" s="18"/>
      <c r="C9" s="5"/>
      <c r="D9" s="2">
        <f ca="1"/>
        <v>46232</v>
      </c>
      <c r="E9" s="21" t="str">
        <v/>
      </c>
    </row>
    <row r="10" spans="1:9" x14ac:dyDescent="0.35">
      <c r="A10" s="18"/>
      <c r="C10" s="5"/>
      <c r="D10" s="2">
        <f ca="1"/>
        <v>46232</v>
      </c>
      <c r="E10" s="21" t="str">
        <v/>
      </c>
    </row>
    <row r="11" spans="1:9" x14ac:dyDescent="0.35">
      <c r="A11" s="18"/>
      <c r="C11" s="5"/>
      <c r="D11" s="2">
        <f ca="1"/>
        <v>46232</v>
      </c>
      <c r="E11" s="21" t="str">
        <v/>
      </c>
    </row>
    <row r="12" spans="1:9" x14ac:dyDescent="0.35">
      <c r="A12" s="18"/>
      <c r="C12" s="5"/>
      <c r="D12" s="2">
        <f ca="1"/>
        <v>46232</v>
      </c>
      <c r="E12" s="21" t="str">
        <v/>
      </c>
    </row>
    <row r="13" spans="1:9" x14ac:dyDescent="0.35">
      <c r="A13" s="18"/>
      <c r="C13" s="5"/>
      <c r="D13" s="2">
        <f ca="1"/>
        <v>46232</v>
      </c>
      <c r="E13" s="21" t="str">
        <v/>
      </c>
    </row>
    <row r="14" spans="1:9" x14ac:dyDescent="0.35">
      <c r="A14" s="18"/>
      <c r="C14" s="5"/>
      <c r="D14" s="2">
        <f ca="1"/>
        <v>46232</v>
      </c>
      <c r="E14" s="21" t="str">
        <v/>
      </c>
    </row>
    <row r="15" spans="1:9" x14ac:dyDescent="0.35">
      <c r="A15" s="18"/>
      <c r="C15" s="5"/>
      <c r="D15" s="2">
        <f ca="1"/>
        <v>46232</v>
      </c>
      <c r="E15" s="21" t="str">
        <v/>
      </c>
    </row>
    <row r="16" spans="1:9" x14ac:dyDescent="0.35">
      <c r="A16" s="18"/>
      <c r="C16" s="5"/>
      <c r="D16" s="2">
        <f ca="1"/>
        <v>46232</v>
      </c>
      <c r="E16" s="21" t="str">
        <v/>
      </c>
    </row>
    <row r="17" spans="1:5" x14ac:dyDescent="0.35">
      <c r="A17" s="18"/>
      <c r="C17" s="5"/>
      <c r="D17" s="2">
        <f ca="1"/>
        <v>46232</v>
      </c>
      <c r="E17" s="21" t="str">
        <v/>
      </c>
    </row>
    <row r="18" spans="1:5" x14ac:dyDescent="0.35">
      <c r="A18" s="18"/>
      <c r="C18" s="5"/>
      <c r="D18" s="2">
        <f ca="1"/>
        <v>46232</v>
      </c>
      <c r="E18" s="21" t="str">
        <v/>
      </c>
    </row>
    <row r="19" spans="1:5" x14ac:dyDescent="0.35">
      <c r="A19" s="18"/>
      <c r="C19" s="5"/>
      <c r="D19" s="2">
        <f ca="1"/>
        <v>46232</v>
      </c>
      <c r="E19" s="21" t="str">
        <v/>
      </c>
    </row>
    <row r="20" spans="1:5" x14ac:dyDescent="0.35">
      <c r="A20" s="18"/>
      <c r="C20" s="5"/>
      <c r="D20" s="2">
        <f ca="1"/>
        <v>46232</v>
      </c>
      <c r="E20" s="21" t="str">
        <v/>
      </c>
    </row>
    <row r="21" spans="1:5" x14ac:dyDescent="0.35">
      <c r="A21" s="18"/>
      <c r="C21" s="5"/>
      <c r="D21" s="2">
        <f ca="1"/>
        <v>46232</v>
      </c>
      <c r="E21" s="21" t="str">
        <v/>
      </c>
    </row>
    <row r="22" spans="1:5" x14ac:dyDescent="0.35">
      <c r="A22" s="18"/>
      <c r="C22" s="5"/>
      <c r="D22" s="2">
        <f ca="1"/>
        <v>46232</v>
      </c>
      <c r="E22" s="21" t="str">
        <v/>
      </c>
    </row>
  </sheetData>
  <mergeCells count="1">
    <mergeCell ref="A1:E1"/>
  </mergeCells>
  <phoneticPr fontId="9" type="noConversion"/>
  <conditionalFormatting sqref="A3:E22">
    <cfRule type="expression" dxfId="11" priority="2">
      <formula>OR($C3="",$C3="NA",$C3="N/A",ISERROR($C3))</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D50BB-9659-456D-AF43-EBA659B3D0E8}">
  <dimension ref="A1:G5"/>
  <sheetViews>
    <sheetView zoomScale="85" zoomScaleNormal="85" workbookViewId="0">
      <selection activeCell="A2" sqref="A2:F2"/>
    </sheetView>
  </sheetViews>
  <sheetFormatPr defaultRowHeight="14.5" x14ac:dyDescent="0.35"/>
  <cols>
    <col min="2" max="2" width="12.26953125" bestFit="1" customWidth="1"/>
    <col min="3" max="3" width="25" customWidth="1"/>
    <col min="4" max="4" width="10.453125" bestFit="1" customWidth="1"/>
    <col min="5" max="5" width="10.6328125" style="2" customWidth="1"/>
    <col min="6" max="6" width="13.453125" customWidth="1"/>
    <col min="7" max="7" width="30.36328125" customWidth="1"/>
  </cols>
  <sheetData>
    <row r="1" spans="1:7" ht="42" customHeight="1" x14ac:dyDescent="0.35">
      <c r="A1" s="73" t="s">
        <v>110</v>
      </c>
      <c r="B1" s="74"/>
      <c r="C1" s="74"/>
      <c r="D1" s="74"/>
      <c r="E1" s="74"/>
      <c r="F1" s="75"/>
      <c r="G1" s="54" t="s">
        <v>67</v>
      </c>
    </row>
    <row r="2" spans="1:7" s="1" customFormat="1" x14ac:dyDescent="0.35">
      <c r="A2" s="62" t="s">
        <v>13</v>
      </c>
      <c r="B2" s="62" t="s">
        <v>17</v>
      </c>
      <c r="C2" s="62" t="s">
        <v>18</v>
      </c>
      <c r="D2" s="62" t="s">
        <v>19</v>
      </c>
      <c r="E2" s="64" t="s">
        <v>20</v>
      </c>
      <c r="F2" s="62" t="s">
        <v>21</v>
      </c>
    </row>
    <row r="3" spans="1:7" x14ac:dyDescent="0.35">
      <c r="A3" s="32" t="e" cm="1">
        <f t="array" ref="A3">INDEX(Property!A:A, MATCH("Prop Code", Property!A:A, 0) + 1)</f>
        <v>#N/A</v>
      </c>
      <c r="B3" t="e" cm="1" vm="1">
        <f t="array" ref="B3">IFERROR( _xlfn._xlws.FILTER(Property!H:K, ISNUMBER(MATCH(Property!H:H, {"Lease Up","Call","Construction","Compliance","Pipeline","Pipeline Status","Asset Management","Acquisition","Fund","Property","Construction","Put"},0))), _xlfn._xlws.FILTER(Property!B:E, ISNUMBER(MATCH(Property!B:B, {"Lease Up","Call","Construction","Compliance","Pipeline","Pipeline Status","Asset Management","Acquisition","Fund","Property","Construction","Put"},0))) )</f>
        <v>#VALUE!</v>
      </c>
      <c r="F3" s="33">
        <f ca="1">TODAY()</f>
        <v>46232</v>
      </c>
    </row>
    <row r="4" spans="1:7" x14ac:dyDescent="0.35">
      <c r="A4" t="e" cm="1">
        <f t="array" ref="A4">INDEX(Property!A:A, MATCH("Prop Code", Property!A:A, 0) + 1)</f>
        <v>#N/A</v>
      </c>
      <c r="F4" s="33">
        <f t="shared" ref="F4:F5" ca="1" si="0">TODAY()</f>
        <v>46232</v>
      </c>
    </row>
    <row r="5" spans="1:7" x14ac:dyDescent="0.35">
      <c r="A5" t="e" cm="1">
        <f t="array" ref="A5">INDEX(Property!A:A, MATCH("Prop Code", Property!A:A, 0) + 1)</f>
        <v>#N/A</v>
      </c>
      <c r="F5" s="33">
        <f t="shared" ca="1" si="0"/>
        <v>46232</v>
      </c>
    </row>
  </sheetData>
  <mergeCells count="1">
    <mergeCell ref="A1:F1"/>
  </mergeCells>
  <conditionalFormatting sqref="A3:F5">
    <cfRule type="expression" dxfId="10" priority="1">
      <formula>OR(     $E3=0,     ISNA($E3),     $E3="NA",     $E3="N/A",     $E3="",     $E3="NULL" )</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04B51-7F07-460D-A15F-37B66D37BBDF}">
  <dimension ref="A1:I36"/>
  <sheetViews>
    <sheetView zoomScale="85" zoomScaleNormal="85" workbookViewId="0">
      <selection activeCell="I13" sqref="I13"/>
    </sheetView>
  </sheetViews>
  <sheetFormatPr defaultRowHeight="14.5" x14ac:dyDescent="0.35"/>
  <cols>
    <col min="1" max="1" width="40" customWidth="1"/>
    <col min="2" max="2" width="30.1796875" customWidth="1"/>
    <col min="3" max="3" width="27.81640625" style="2" customWidth="1"/>
    <col min="4" max="4" width="14.54296875" customWidth="1"/>
    <col min="5" max="5" width="18.36328125" customWidth="1"/>
    <col min="6" max="6" width="21.26953125" bestFit="1" customWidth="1"/>
    <col min="7" max="7" width="12.26953125" style="2" customWidth="1"/>
    <col min="8" max="8" width="18.7265625" customWidth="1"/>
    <col min="9" max="9" width="35.08984375" customWidth="1"/>
  </cols>
  <sheetData>
    <row r="1" spans="1:9" ht="170" customHeight="1" x14ac:dyDescent="0.35">
      <c r="A1" s="73" t="s">
        <v>113</v>
      </c>
      <c r="B1" s="74"/>
      <c r="C1" s="74"/>
      <c r="D1" s="74"/>
      <c r="E1" s="74"/>
      <c r="F1" s="74"/>
      <c r="G1" s="74"/>
      <c r="H1" s="75"/>
      <c r="I1" s="54" t="s">
        <v>67</v>
      </c>
    </row>
    <row r="2" spans="1:9" s="3" customFormat="1" x14ac:dyDescent="0.35">
      <c r="A2" s="65" t="s">
        <v>13</v>
      </c>
      <c r="B2" s="65" t="s">
        <v>22</v>
      </c>
      <c r="C2" s="66" t="s">
        <v>23</v>
      </c>
      <c r="D2" s="65" t="s">
        <v>24</v>
      </c>
      <c r="E2" s="65" t="s">
        <v>15</v>
      </c>
      <c r="F2" s="65" t="s">
        <v>25</v>
      </c>
      <c r="G2" s="66" t="s">
        <v>68</v>
      </c>
      <c r="H2" s="65" t="s">
        <v>26</v>
      </c>
    </row>
    <row r="3" spans="1:9" x14ac:dyDescent="0.35">
      <c r="A3" t="e" cm="1">
        <f t="array" ref="A3">INDEX(Property!A:A, MATCH("Prop Code", Property!A:A, 0) + 1)</f>
        <v>#N/A</v>
      </c>
      <c r="B3" s="21" t="str" cm="1">
        <f t="array" ref="B3">_xlfn.LET(
_xlpm.primary, IFERROR(INDEX(Property!B:B, MATCH("Fund Code", Property!B:B, 0) + 1), ""),
_xlpm.fallback, IFERROR(INDEX(Property!A:A, MATCH("Fund", Property!A:A, 0) + 1), ""),
IF(
    (_xlpm.primary=0)+(_xlpm.primary="")+(_xlpm.primary="NA")+(_xlpm.primary="#N/A"),
    _xlpm.fallback,
    _xlpm.primary
)
)</f>
        <v/>
      </c>
      <c r="C3" s="2" cm="1">
        <f t="array" aca="1" ref="C3" ca="1">_xlfn.LET(
_xlpm.d, IFERROR(INDEX(Property!C:C, MATCH("Date", Property!C:C, 0) + 1), ""),
_xlpm.c, IFERROR(INDEX(Property!D:D, MATCH("Closing Date", Property!D:D, 0) + 1), ""),
IF(
    OR(_xlpm.d="", _xlpm.d=0, _xlpm.d="NA", ISNA(_xlpm.d), _xlpm.d=DATE(1900,1,0)),
    IF(OR(_xlpm.c="", _xlpm.c=0, _xlpm.c="NA", ISNA(_xlpm.c), _xlpm.c=DATE(1900,1,0)), TODAY(), _xlpm.c),
    _xlpm.d
)
)</f>
        <v>46232</v>
      </c>
      <c r="E3" t="e" cm="1">
        <f t="array" ref="E3:E4">INDEX(Property!E:E, MATCH("Amount", Property!E:E, 0) + _xlfn.SEQUENCE(2))</f>
        <v>#N/A</v>
      </c>
      <c r="F3" t="e" cm="1">
        <f t="array" ref="F3:F4">INDEX(Property!F:F, MATCH("Type", Property!F:F, 0) + _xlfn.SEQUENCE(2))</f>
        <v>#N/A</v>
      </c>
      <c r="H3" s="18" t="e" cm="1">
        <f t="array" ref="H3:H4">INDEX(Property!G:G, MATCH("Credit Type", Property!G:G, 0) + _xlfn.SEQUENCE(2))</f>
        <v>#N/A</v>
      </c>
    </row>
    <row r="4" spans="1:9" x14ac:dyDescent="0.35">
      <c r="A4" t="e" cm="1">
        <f t="array" ref="A4">INDEX(Property!A:A, MATCH("Prop Code", Property!A:A, 0) + 1)</f>
        <v>#N/A</v>
      </c>
      <c r="B4" s="21" t="str" cm="1">
        <f t="array" ref="B4">_xlfn.LET(
_xlpm.primary, IFERROR(INDEX(Property!B:B, MATCH("Fund Code", Property!B:B, 0) + 1), ""),
_xlpm.fallback, IFERROR(INDEX(Property!A:A, MATCH("Fund", Property!A:A, 0) + 1), ""),
IF(
    (_xlpm.primary=0)+(_xlpm.primary="")+(_xlpm.primary="NA")+(_xlpm.primary="#N/A"),
    _xlpm.fallback,
    _xlpm.primary
)
)</f>
        <v/>
      </c>
      <c r="C4" s="2" cm="1">
        <f t="array" aca="1" ref="C4" ca="1">_xlfn.LET(
_xlpm.d, IFERROR(INDEX(Property!C:C, MATCH("Date", Property!C:C, 0) + 1), ""),
_xlpm.c, IFERROR(INDEX(Property!D:D, MATCH("Closing Date", Property!D:D, 0) + 1), ""),
IF(
    OR(_xlpm.d="", _xlpm.d=0, _xlpm.d="NA", ISNA(_xlpm.d), _xlpm.d=DATE(1900,1,0)),
    IF(OR(_xlpm.c="", _xlpm.c=0, _xlpm.c="NA", ISNA(_xlpm.c), _xlpm.c=DATE(1900,1,0)), TODAY(), _xlpm.c),
    _xlpm.d
)
)</f>
        <v>46232</v>
      </c>
      <c r="E4" t="e">
        <v>#N/A</v>
      </c>
      <c r="F4" t="e">
        <v>#N/A</v>
      </c>
      <c r="H4" s="18" t="e">
        <v>#N/A</v>
      </c>
    </row>
    <row r="5" spans="1:9" x14ac:dyDescent="0.35">
      <c r="A5" t="e" cm="1">
        <f t="array" ref="A5">INDEX(Property!A:A, MATCH("Prop Code", Property!A:A, 0) + 1)</f>
        <v>#N/A</v>
      </c>
      <c r="B5" s="21" t="str" cm="1">
        <f t="array" ref="B5">_xlfn.LET(
_xlpm.primary, IFERROR(INDEX(Property!B:B, MATCH("Fund Code", Property!B:B, 0) + 1), ""),
_xlpm.fallback, IFERROR(INDEX(Property!A:A, MATCH("Fund", Property!A:A, 0) + 1), ""),
IF(
    (_xlpm.primary=0)+(_xlpm.primary="")+(_xlpm.primary="NA")+(_xlpm.primary="#N/A"),
    _xlpm.fallback,
    _xlpm.primary
)
)</f>
        <v/>
      </c>
      <c r="C5" s="2" cm="1">
        <f t="array" aca="1" ref="C5" ca="1">_xlfn.LET(
_xlpm.d, IFERROR(INDEX(Property!C:C, MATCH("Date", Property!C:C, 0) + 1), ""),
_xlpm.c, IFERROR(INDEX(Property!D:D, MATCH("Closing Date", Property!D:D, 0) + 1), ""),
IF(
    OR(_xlpm.d="", _xlpm.d=0, _xlpm.d="NA", ISNA(_xlpm.d), _xlpm.d=DATE(1900,1,0)),
    IF(OR(_xlpm.c="", _xlpm.c=0, _xlpm.c="NA", ISNA(_xlpm.c), _xlpm.c=DATE(1900,1,0)), TODAY(), _xlpm.c),
    _xlpm.d
)
)</f>
        <v>46232</v>
      </c>
      <c r="E5" t="e" cm="1">
        <f t="array" ref="E5:E36">IFERROR(
    INDEX(Property!F:F, MATCH("Amount", Property!F:F, 0) + _xlfn.SEQUENCE(32)),
    INDEX(Property!B:B, MATCH("Contribution Amount", Property!B:B, 0) + _xlfn.SEQUENCE(32)))</f>
        <v>#N/A</v>
      </c>
      <c r="F5" t="e" cm="1">
        <f t="array" ref="F5:F36">IFERROR(
    INDEX(Property!G:G, MATCH("Type", Property!G:G, 0) + _xlfn.SEQUENCE(32)),
    INDEX(Property!C:C, MATCH("Type", Property!C:C, 0) + _xlfn.SEQUENCE(32))
)</f>
        <v>#N/A</v>
      </c>
      <c r="G5" s="2" t="e" cm="1">
        <f t="array" ref="G5:G36">IFERROR(
    IF(INDEX(Property!A:A, MATCH("Date", Property!A:A, 0) + _xlfn.SEQUENCE(32))="", "",
       IF(INDEX(Property!A:A, MATCH("Date", Property!A:A, 0) + _xlfn.SEQUENCE(32))=0, "",
          INDEX(Property!A:A, MATCH("Date", Property!A:A, 0) + _xlfn.SEQUENCE(32)))),
    IF(INDEX(Property!D:D, MATCH("Projected Date", Property!D:D, 0) + _xlfn.SEQUENCE(32))="", "",
       IF(INDEX(Property!D:D, MATCH("Projected Date", Property!D:D, 0) + _xlfn.SEQUENCE(32))=0, "",
          INDEX(Property!D:D, MATCH("Projected Date", Property!D:D, 0) + _xlfn.SEQUENCE(32))))
)</f>
        <v>#N/A</v>
      </c>
      <c r="H5" s="18" t="e" cm="1">
        <f t="array" ref="H5:H36">IFERROR(
    INDEX(Property!D:D, MATCH("Credit Type", Property!D:D, 0) + _xlfn.SEQUENCE(32)),
    INDEX(Property!H:H, MATCH("Credit Type", Property!H:H, 0) + _xlfn.SEQUENCE(32))
)</f>
        <v>#N/A</v>
      </c>
    </row>
    <row r="6" spans="1:9" x14ac:dyDescent="0.35">
      <c r="A6" t="e" cm="1">
        <f t="array" ref="A6">INDEX(Property!A:A, MATCH("Prop Code", Property!A:A, 0) + 1)</f>
        <v>#N/A</v>
      </c>
      <c r="B6" s="21" t="str" cm="1">
        <f t="array" ref="B6">_xlfn.LET(
_xlpm.primary, IFERROR(INDEX(Property!B:B, MATCH("Fund Code", Property!B:B, 0) + 1), ""),
_xlpm.fallback, IFERROR(INDEX(Property!A:A, MATCH("Fund", Property!A:A, 0) + 1), ""),
IF(
    (_xlpm.primary=0)+(_xlpm.primary="")+(_xlpm.primary="NA")+(_xlpm.primary="#N/A"),
    _xlpm.fallback,
    _xlpm.primary
)
)</f>
        <v/>
      </c>
      <c r="C6" s="2" cm="1">
        <f t="array" aca="1" ref="C6" ca="1">_xlfn.LET(
_xlpm.d, IFERROR(INDEX(Property!C:C, MATCH("Date", Property!C:C, 0) + 1), ""),
_xlpm.c, IFERROR(INDEX(Property!D:D, MATCH("Closing Date", Property!D:D, 0) + 1), ""),
IF(
    OR(_xlpm.d="", _xlpm.d=0, _xlpm.d="NA", ISNA(_xlpm.d), _xlpm.d=DATE(1900,1,0)),
    IF(OR(_xlpm.c="", _xlpm.c=0, _xlpm.c="NA", ISNA(_xlpm.c), _xlpm.c=DATE(1900,1,0)), TODAY(), _xlpm.c),
    _xlpm.d
)
)</f>
        <v>46232</v>
      </c>
      <c r="E6" t="e">
        <v>#N/A</v>
      </c>
      <c r="F6" t="e">
        <v>#N/A</v>
      </c>
      <c r="G6" s="2" t="e">
        <v>#N/A</v>
      </c>
      <c r="H6" s="18" t="e">
        <v>#N/A</v>
      </c>
    </row>
    <row r="7" spans="1:9" x14ac:dyDescent="0.35">
      <c r="A7" t="e" cm="1">
        <f t="array" ref="A7">INDEX(Property!A:A, MATCH("Prop Code", Property!A:A, 0) + 1)</f>
        <v>#N/A</v>
      </c>
      <c r="B7" s="21" t="str" cm="1">
        <f t="array" ref="B7">_xlfn.LET(
_xlpm.primary, IFERROR(INDEX(Property!B:B, MATCH("Fund Code", Property!B:B, 0) + 1), ""),
_xlpm.fallback, IFERROR(INDEX(Property!A:A, MATCH("Fund", Property!A:A, 0) + 1), ""),
IF(
    (_xlpm.primary=0)+(_xlpm.primary="")+(_xlpm.primary="NA")+(_xlpm.primary="#N/A"),
    _xlpm.fallback,
    _xlpm.primary
)
)</f>
        <v/>
      </c>
      <c r="C7" s="2" cm="1">
        <f t="array" aca="1" ref="C7" ca="1">_xlfn.LET(
_xlpm.d, IFERROR(INDEX(Property!C:C, MATCH("Date", Property!C:C, 0) + 1), ""),
_xlpm.c, IFERROR(INDEX(Property!D:D, MATCH("Closing Date", Property!D:D, 0) + 1), ""),
IF(
    OR(_xlpm.d="", _xlpm.d=0, _xlpm.d="NA", ISNA(_xlpm.d), _xlpm.d=DATE(1900,1,0)),
    IF(OR(_xlpm.c="", _xlpm.c=0, _xlpm.c="NA", ISNA(_xlpm.c), _xlpm.c=DATE(1900,1,0)), TODAY(), _xlpm.c),
    _xlpm.d
)
)</f>
        <v>46232</v>
      </c>
      <c r="E7" t="e">
        <v>#N/A</v>
      </c>
      <c r="F7" t="e">
        <v>#N/A</v>
      </c>
      <c r="G7" s="2" t="e">
        <v>#N/A</v>
      </c>
      <c r="H7" s="18" t="e">
        <v>#N/A</v>
      </c>
    </row>
    <row r="8" spans="1:9" x14ac:dyDescent="0.35">
      <c r="A8" t="e" cm="1">
        <f t="array" ref="A8">INDEX(Property!A:A, MATCH("Prop Code", Property!A:A, 0) + 1)</f>
        <v>#N/A</v>
      </c>
      <c r="B8" s="21" t="str" cm="1">
        <f t="array" ref="B8">_xlfn.LET(
_xlpm.primary, IFERROR(INDEX(Property!B:B, MATCH("Fund Code", Property!B:B, 0) + 1), ""),
_xlpm.fallback, IFERROR(INDEX(Property!A:A, MATCH("Fund", Property!A:A, 0) + 1), ""),
IF(
    (_xlpm.primary=0)+(_xlpm.primary="")+(_xlpm.primary="NA")+(_xlpm.primary="#N/A"),
    _xlpm.fallback,
    _xlpm.primary
)
)</f>
        <v/>
      </c>
      <c r="C8" s="2" cm="1">
        <f t="array" aca="1" ref="C8" ca="1">_xlfn.LET(
_xlpm.d, IFERROR(INDEX(Property!C:C, MATCH("Date", Property!C:C, 0) + 1), ""),
_xlpm.c, IFERROR(INDEX(Property!D:D, MATCH("Closing Date", Property!D:D, 0) + 1), ""),
IF(
    OR(_xlpm.d="", _xlpm.d=0, _xlpm.d="NA", ISNA(_xlpm.d), _xlpm.d=DATE(1900,1,0)),
    IF(OR(_xlpm.c="", _xlpm.c=0, _xlpm.c="NA", ISNA(_xlpm.c), _xlpm.c=DATE(1900,1,0)), TODAY(), _xlpm.c),
    _xlpm.d
)
)</f>
        <v>46232</v>
      </c>
      <c r="E8" t="e">
        <v>#N/A</v>
      </c>
      <c r="F8" t="e">
        <v>#N/A</v>
      </c>
      <c r="G8" s="2" t="e">
        <v>#N/A</v>
      </c>
      <c r="H8" s="18" t="e">
        <v>#N/A</v>
      </c>
    </row>
    <row r="9" spans="1:9" x14ac:dyDescent="0.35">
      <c r="A9" t="e" cm="1">
        <f t="array" ref="A9">INDEX(Property!A:A, MATCH("Prop Code", Property!A:A, 0) + 1)</f>
        <v>#N/A</v>
      </c>
      <c r="B9" s="21" t="str" cm="1">
        <f t="array" ref="B9">_xlfn.LET(
_xlpm.primary, IFERROR(INDEX(Property!B:B, MATCH("Fund Code", Property!B:B, 0) + 1), ""),
_xlpm.fallback, IFERROR(INDEX(Property!A:A, MATCH("Fund", Property!A:A, 0) + 1), ""),
IF(
    (_xlpm.primary=0)+(_xlpm.primary="")+(_xlpm.primary="NA")+(_xlpm.primary="#N/A"),
    _xlpm.fallback,
    _xlpm.primary
)
)</f>
        <v/>
      </c>
      <c r="C9" s="2" cm="1">
        <f t="array" aca="1" ref="C9" ca="1">_xlfn.LET(
_xlpm.d, IFERROR(INDEX(Property!C:C, MATCH("Date", Property!C:C, 0) + 1), ""),
_xlpm.c, IFERROR(INDEX(Property!D:D, MATCH("Closing Date", Property!D:D, 0) + 1), ""),
IF(
    OR(_xlpm.d="", _xlpm.d=0, _xlpm.d="NA", ISNA(_xlpm.d), _xlpm.d=DATE(1900,1,0)),
    IF(OR(_xlpm.c="", _xlpm.c=0, _xlpm.c="NA", ISNA(_xlpm.c), _xlpm.c=DATE(1900,1,0)), TODAY(), _xlpm.c),
    _xlpm.d
)
)</f>
        <v>46232</v>
      </c>
      <c r="E9" t="e">
        <v>#N/A</v>
      </c>
      <c r="F9" t="e">
        <v>#N/A</v>
      </c>
      <c r="G9" s="2" t="e">
        <v>#N/A</v>
      </c>
      <c r="H9" s="18" t="e">
        <v>#N/A</v>
      </c>
    </row>
    <row r="10" spans="1:9" x14ac:dyDescent="0.35">
      <c r="A10" t="e" cm="1">
        <f t="array" ref="A10">INDEX(Property!A:A, MATCH("Prop Code", Property!A:A, 0) + 1)</f>
        <v>#N/A</v>
      </c>
      <c r="B10" s="21" t="str" cm="1">
        <f t="array" ref="B10">_xlfn.LET(
_xlpm.primary, IFERROR(INDEX(Property!B:B, MATCH("Fund Code", Property!B:B, 0) + 1), ""),
_xlpm.fallback, IFERROR(INDEX(Property!A:A, MATCH("Fund", Property!A:A, 0) + 1), ""),
IF(
    (_xlpm.primary=0)+(_xlpm.primary="")+(_xlpm.primary="NA")+(_xlpm.primary="#N/A"),
    _xlpm.fallback,
    _xlpm.primary
)
)</f>
        <v/>
      </c>
      <c r="C10" s="2" cm="1">
        <f t="array" aca="1" ref="C10" ca="1">_xlfn.LET(
_xlpm.d, IFERROR(INDEX(Property!C:C, MATCH("Date", Property!C:C, 0) + 1), ""),
_xlpm.c, IFERROR(INDEX(Property!D:D, MATCH("Closing Date", Property!D:D, 0) + 1), ""),
IF(
    OR(_xlpm.d="", _xlpm.d=0, _xlpm.d="NA", ISNA(_xlpm.d), _xlpm.d=DATE(1900,1,0)),
    IF(OR(_xlpm.c="", _xlpm.c=0, _xlpm.c="NA", ISNA(_xlpm.c), _xlpm.c=DATE(1900,1,0)), TODAY(), _xlpm.c),
    _xlpm.d
)
)</f>
        <v>46232</v>
      </c>
      <c r="E10" t="e">
        <v>#N/A</v>
      </c>
      <c r="F10" t="e">
        <v>#N/A</v>
      </c>
      <c r="G10" s="2" t="e">
        <v>#N/A</v>
      </c>
      <c r="H10" s="18" t="e">
        <v>#N/A</v>
      </c>
    </row>
    <row r="11" spans="1:9" x14ac:dyDescent="0.35">
      <c r="A11" t="e" cm="1">
        <f t="array" ref="A11">INDEX(Property!A:A, MATCH("Prop Code", Property!A:A, 0) + 1)</f>
        <v>#N/A</v>
      </c>
      <c r="B11" s="21" t="str" cm="1">
        <f t="array" ref="B11">_xlfn.LET(
_xlpm.primary, IFERROR(INDEX(Property!B:B, MATCH("Fund Code", Property!B:B, 0) + 1), ""),
_xlpm.fallback, IFERROR(INDEX(Property!A:A, MATCH("Fund", Property!A:A, 0) + 1), ""),
IF(
    (_xlpm.primary=0)+(_xlpm.primary="")+(_xlpm.primary="NA")+(_xlpm.primary="#N/A"),
    _xlpm.fallback,
    _xlpm.primary
)
)</f>
        <v/>
      </c>
      <c r="C11" s="2" cm="1">
        <f t="array" aca="1" ref="C11" ca="1">_xlfn.LET(
_xlpm.d, IFERROR(INDEX(Property!C:C, MATCH("Date", Property!C:C, 0) + 1), ""),
_xlpm.c, IFERROR(INDEX(Property!D:D, MATCH("Closing Date", Property!D:D, 0) + 1), ""),
IF(
    OR(_xlpm.d="", _xlpm.d=0, _xlpm.d="NA", ISNA(_xlpm.d), _xlpm.d=DATE(1900,1,0)),
    IF(OR(_xlpm.c="", _xlpm.c=0, _xlpm.c="NA", ISNA(_xlpm.c), _xlpm.c=DATE(1900,1,0)), TODAY(), _xlpm.c),
    _xlpm.d
)
)</f>
        <v>46232</v>
      </c>
      <c r="E11" t="e">
        <v>#N/A</v>
      </c>
      <c r="F11" t="e">
        <v>#N/A</v>
      </c>
      <c r="G11" s="2" t="e">
        <v>#N/A</v>
      </c>
      <c r="H11" s="18" t="e">
        <v>#N/A</v>
      </c>
    </row>
    <row r="12" spans="1:9" x14ac:dyDescent="0.35">
      <c r="A12" t="e" cm="1">
        <f t="array" ref="A12">INDEX(Property!A:A, MATCH("Prop Code", Property!A:A, 0) + 1)</f>
        <v>#N/A</v>
      </c>
      <c r="B12" s="21" t="str" cm="1">
        <f t="array" ref="B12">_xlfn.LET(
_xlpm.primary, IFERROR(INDEX(Property!B:B, MATCH("Fund Code", Property!B:B, 0) + 1), ""),
_xlpm.fallback, IFERROR(INDEX(Property!A:A, MATCH("Fund", Property!A:A, 0) + 1), ""),
IF(
    (_xlpm.primary=0)+(_xlpm.primary="")+(_xlpm.primary="NA")+(_xlpm.primary="#N/A"),
    _xlpm.fallback,
    _xlpm.primary
)
)</f>
        <v/>
      </c>
      <c r="C12" s="2" cm="1">
        <f t="array" aca="1" ref="C12" ca="1">_xlfn.LET(
_xlpm.d, IFERROR(INDEX(Property!C:C, MATCH("Date", Property!C:C, 0) + 1), ""),
_xlpm.c, IFERROR(INDEX(Property!D:D, MATCH("Closing Date", Property!D:D, 0) + 1), ""),
IF(
    OR(_xlpm.d="", _xlpm.d=0, _xlpm.d="NA", ISNA(_xlpm.d), _xlpm.d=DATE(1900,1,0)),
    IF(OR(_xlpm.c="", _xlpm.c=0, _xlpm.c="NA", ISNA(_xlpm.c), _xlpm.c=DATE(1900,1,0)), TODAY(), _xlpm.c),
    _xlpm.d
)
)</f>
        <v>46232</v>
      </c>
      <c r="E12" t="e">
        <v>#N/A</v>
      </c>
      <c r="F12" t="e">
        <v>#N/A</v>
      </c>
      <c r="G12" s="2" t="e">
        <v>#N/A</v>
      </c>
      <c r="H12" s="18" t="e">
        <v>#N/A</v>
      </c>
    </row>
    <row r="13" spans="1:9" x14ac:dyDescent="0.35">
      <c r="A13" t="e" cm="1">
        <f t="array" ref="A13">INDEX(Property!A:A, MATCH("Prop Code", Property!A:A, 0) + 1)</f>
        <v>#N/A</v>
      </c>
      <c r="B13" s="21" t="str" cm="1">
        <f t="array" ref="B13">_xlfn.LET(
_xlpm.primary, IFERROR(INDEX(Property!B:B, MATCH("Fund Code", Property!B:B, 0) + 1), ""),
_xlpm.fallback, IFERROR(INDEX(Property!A:A, MATCH("Fund", Property!A:A, 0) + 1), ""),
IF(
    (_xlpm.primary=0)+(_xlpm.primary="")+(_xlpm.primary="NA")+(_xlpm.primary="#N/A"),
    _xlpm.fallback,
    _xlpm.primary
)
)</f>
        <v/>
      </c>
      <c r="C13" s="2" cm="1">
        <f t="array" aca="1" ref="C13" ca="1">_xlfn.LET(
_xlpm.d, IFERROR(INDEX(Property!C:C, MATCH("Date", Property!C:C, 0) + 1), ""),
_xlpm.c, IFERROR(INDEX(Property!D:D, MATCH("Closing Date", Property!D:D, 0) + 1), ""),
IF(
    OR(_xlpm.d="", _xlpm.d=0, _xlpm.d="NA", ISNA(_xlpm.d), _xlpm.d=DATE(1900,1,0)),
    IF(OR(_xlpm.c="", _xlpm.c=0, _xlpm.c="NA", ISNA(_xlpm.c), _xlpm.c=DATE(1900,1,0)), TODAY(), _xlpm.c),
    _xlpm.d
)
)</f>
        <v>46232</v>
      </c>
      <c r="E13" t="e">
        <v>#N/A</v>
      </c>
      <c r="F13" t="e">
        <v>#N/A</v>
      </c>
      <c r="G13" s="2" t="e">
        <v>#N/A</v>
      </c>
      <c r="H13" s="18" t="e">
        <v>#N/A</v>
      </c>
    </row>
    <row r="14" spans="1:9" x14ac:dyDescent="0.35">
      <c r="A14" t="e" cm="1">
        <f t="array" ref="A14">INDEX(Property!A:A, MATCH("Prop Code", Property!A:A, 0) + 1)</f>
        <v>#N/A</v>
      </c>
      <c r="B14" s="21" t="str" cm="1">
        <f t="array" ref="B14">_xlfn.LET(
_xlpm.primary, IFERROR(INDEX(Property!B:B, MATCH("Fund Code", Property!B:B, 0) + 1), ""),
_xlpm.fallback, IFERROR(INDEX(Property!A:A, MATCH("Fund", Property!A:A, 0) + 1), ""),
IF(
    (_xlpm.primary=0)+(_xlpm.primary="")+(_xlpm.primary="NA")+(_xlpm.primary="#N/A"),
    _xlpm.fallback,
    _xlpm.primary
)
)</f>
        <v/>
      </c>
      <c r="C14" s="2" cm="1">
        <f t="array" aca="1" ref="C14" ca="1">_xlfn.LET(
_xlpm.d, IFERROR(INDEX(Property!C:C, MATCH("Date", Property!C:C, 0) + 1), ""),
_xlpm.c, IFERROR(INDEX(Property!D:D, MATCH("Closing Date", Property!D:D, 0) + 1), ""),
IF(
    OR(_xlpm.d="", _xlpm.d=0, _xlpm.d="NA", ISNA(_xlpm.d), _xlpm.d=DATE(1900,1,0)),
    IF(OR(_xlpm.c="", _xlpm.c=0, _xlpm.c="NA", ISNA(_xlpm.c), _xlpm.c=DATE(1900,1,0)), TODAY(), _xlpm.c),
    _xlpm.d
)
)</f>
        <v>46232</v>
      </c>
      <c r="E14" t="e">
        <v>#N/A</v>
      </c>
      <c r="F14" t="e">
        <v>#N/A</v>
      </c>
      <c r="G14" s="2" t="e">
        <v>#N/A</v>
      </c>
      <c r="H14" s="18" t="e">
        <v>#N/A</v>
      </c>
    </row>
    <row r="15" spans="1:9" x14ac:dyDescent="0.35">
      <c r="A15" t="e" cm="1">
        <f t="array" ref="A15">INDEX(Property!A:A, MATCH("Prop Code", Property!A:A, 0) + 1)</f>
        <v>#N/A</v>
      </c>
      <c r="B15" s="21" t="str" cm="1">
        <f t="array" ref="B15">_xlfn.LET(
_xlpm.primary, IFERROR(INDEX(Property!B:B, MATCH("Fund Code", Property!B:B, 0) + 1), ""),
_xlpm.fallback, IFERROR(INDEX(Property!A:A, MATCH("Fund", Property!A:A, 0) + 1), ""),
IF(
    (_xlpm.primary=0)+(_xlpm.primary="")+(_xlpm.primary="NA")+(_xlpm.primary="#N/A"),
    _xlpm.fallback,
    _xlpm.primary
)
)</f>
        <v/>
      </c>
      <c r="C15" s="2" cm="1">
        <f t="array" aca="1" ref="C15" ca="1">_xlfn.LET(
_xlpm.d, IFERROR(INDEX(Property!C:C, MATCH("Date", Property!C:C, 0) + 1), ""),
_xlpm.c, IFERROR(INDEX(Property!D:D, MATCH("Closing Date", Property!D:D, 0) + 1), ""),
IF(
    OR(_xlpm.d="", _xlpm.d=0, _xlpm.d="NA", ISNA(_xlpm.d), _xlpm.d=DATE(1900,1,0)),
    IF(OR(_xlpm.c="", _xlpm.c=0, _xlpm.c="NA", ISNA(_xlpm.c), _xlpm.c=DATE(1900,1,0)), TODAY(), _xlpm.c),
    _xlpm.d
)
)</f>
        <v>46232</v>
      </c>
      <c r="E15" t="e">
        <v>#N/A</v>
      </c>
      <c r="F15" t="e">
        <v>#N/A</v>
      </c>
      <c r="G15" s="2" t="e">
        <v>#N/A</v>
      </c>
      <c r="H15" s="18" t="e">
        <v>#N/A</v>
      </c>
    </row>
    <row r="16" spans="1:9" x14ac:dyDescent="0.35">
      <c r="A16" t="e" cm="1">
        <f t="array" ref="A16">INDEX(Property!A:A, MATCH("Prop Code", Property!A:A, 0) + 1)</f>
        <v>#N/A</v>
      </c>
      <c r="B16" s="21" t="str" cm="1">
        <f t="array" ref="B16">_xlfn.LET(
_xlpm.primary, IFERROR(INDEX(Property!B:B, MATCH("Fund Code", Property!B:B, 0) + 1), ""),
_xlpm.fallback, IFERROR(INDEX(Property!A:A, MATCH("Fund", Property!A:A, 0) + 1), ""),
IF(
    (_xlpm.primary=0)+(_xlpm.primary="")+(_xlpm.primary="NA")+(_xlpm.primary="#N/A"),
    _xlpm.fallback,
    _xlpm.primary
)
)</f>
        <v/>
      </c>
      <c r="C16" s="2" cm="1">
        <f t="array" aca="1" ref="C16" ca="1">_xlfn.LET(
_xlpm.d, IFERROR(INDEX(Property!C:C, MATCH("Date", Property!C:C, 0) + 1), ""),
_xlpm.c, IFERROR(INDEX(Property!D:D, MATCH("Closing Date", Property!D:D, 0) + 1), ""),
IF(
    OR(_xlpm.d="", _xlpm.d=0, _xlpm.d="NA", ISNA(_xlpm.d), _xlpm.d=DATE(1900,1,0)),
    IF(OR(_xlpm.c="", _xlpm.c=0, _xlpm.c="NA", ISNA(_xlpm.c), _xlpm.c=DATE(1900,1,0)), TODAY(), _xlpm.c),
    _xlpm.d
)
)</f>
        <v>46232</v>
      </c>
      <c r="E16" t="e">
        <v>#N/A</v>
      </c>
      <c r="F16" t="e">
        <v>#N/A</v>
      </c>
      <c r="G16" s="2" t="e">
        <v>#N/A</v>
      </c>
      <c r="H16" s="18" t="e">
        <v>#N/A</v>
      </c>
    </row>
    <row r="17" spans="1:8" x14ac:dyDescent="0.35">
      <c r="A17" t="e" cm="1">
        <f t="array" ref="A17">INDEX(Property!A:A, MATCH("Prop Code", Property!A:A, 0) + 1)</f>
        <v>#N/A</v>
      </c>
      <c r="B17" s="21" t="str" cm="1">
        <f t="array" ref="B17">_xlfn.LET(
_xlpm.primary, IFERROR(INDEX(Property!B:B, MATCH("Fund Code", Property!B:B, 0) + 1), ""),
_xlpm.fallback, IFERROR(INDEX(Property!A:A, MATCH("Fund", Property!A:A, 0) + 1), ""),
IF(
    (_xlpm.primary=0)+(_xlpm.primary="")+(_xlpm.primary="NA")+(_xlpm.primary="#N/A"),
    _xlpm.fallback,
    _xlpm.primary
)
)</f>
        <v/>
      </c>
      <c r="C17" s="2" cm="1">
        <f t="array" aca="1" ref="C17" ca="1">_xlfn.LET(
_xlpm.d, IFERROR(INDEX(Property!C:C, MATCH("Date", Property!C:C, 0) + 1), ""),
_xlpm.c, IFERROR(INDEX(Property!D:D, MATCH("Closing Date", Property!D:D, 0) + 1), ""),
IF(
    OR(_xlpm.d="", _xlpm.d=0, _xlpm.d="NA", ISNA(_xlpm.d), _xlpm.d=DATE(1900,1,0)),
    IF(OR(_xlpm.c="", _xlpm.c=0, _xlpm.c="NA", ISNA(_xlpm.c), _xlpm.c=DATE(1900,1,0)), TODAY(), _xlpm.c),
    _xlpm.d
)
)</f>
        <v>46232</v>
      </c>
      <c r="E17" t="e">
        <v>#N/A</v>
      </c>
      <c r="F17" t="e">
        <v>#N/A</v>
      </c>
      <c r="G17" s="2" t="e">
        <v>#N/A</v>
      </c>
      <c r="H17" s="18" t="e">
        <v>#N/A</v>
      </c>
    </row>
    <row r="18" spans="1:8" x14ac:dyDescent="0.35">
      <c r="A18" t="e" cm="1">
        <f t="array" ref="A18">INDEX(Property!A:A, MATCH("Prop Code", Property!A:A, 0) + 1)</f>
        <v>#N/A</v>
      </c>
      <c r="B18" s="21" t="str" cm="1">
        <f t="array" ref="B18">_xlfn.LET(
_xlpm.primary, IFERROR(INDEX(Property!B:B, MATCH("Fund Code", Property!B:B, 0) + 1), ""),
_xlpm.fallback, IFERROR(INDEX(Property!A:A, MATCH("Fund", Property!A:A, 0) + 1), ""),
IF(
    (_xlpm.primary=0)+(_xlpm.primary="")+(_xlpm.primary="NA")+(_xlpm.primary="#N/A"),
    _xlpm.fallback,
    _xlpm.primary
)
)</f>
        <v/>
      </c>
      <c r="C18" s="2" cm="1">
        <f t="array" aca="1" ref="C18" ca="1">_xlfn.LET(
_xlpm.d, IFERROR(INDEX(Property!C:C, MATCH("Date", Property!C:C, 0) + 1), ""),
_xlpm.c, IFERROR(INDEX(Property!D:D, MATCH("Closing Date", Property!D:D, 0) + 1), ""),
IF(
    OR(_xlpm.d="", _xlpm.d=0, _xlpm.d="NA", ISNA(_xlpm.d), _xlpm.d=DATE(1900,1,0)),
    IF(OR(_xlpm.c="", _xlpm.c=0, _xlpm.c="NA", ISNA(_xlpm.c), _xlpm.c=DATE(1900,1,0)), TODAY(), _xlpm.c),
    _xlpm.d
)
)</f>
        <v>46232</v>
      </c>
      <c r="E18" t="e">
        <v>#N/A</v>
      </c>
      <c r="F18" t="e">
        <v>#N/A</v>
      </c>
      <c r="G18" s="2" t="e">
        <v>#N/A</v>
      </c>
      <c r="H18" s="18" t="e">
        <v>#N/A</v>
      </c>
    </row>
    <row r="19" spans="1:8" x14ac:dyDescent="0.35">
      <c r="A19" t="e" cm="1">
        <f t="array" ref="A19">INDEX(Property!A:A, MATCH("Prop Code", Property!A:A, 0) + 1)</f>
        <v>#N/A</v>
      </c>
      <c r="B19" s="21" t="str" cm="1">
        <f t="array" ref="B19">_xlfn.LET(
_xlpm.primary, IFERROR(INDEX(Property!B:B, MATCH("Fund Code", Property!B:B, 0) + 1), ""),
_xlpm.fallback, IFERROR(INDEX(Property!A:A, MATCH("Fund", Property!A:A, 0) + 1), ""),
IF(
    (_xlpm.primary=0)+(_xlpm.primary="")+(_xlpm.primary="NA")+(_xlpm.primary="#N/A"),
    _xlpm.fallback,
    _xlpm.primary
)
)</f>
        <v/>
      </c>
      <c r="C19" s="2" cm="1">
        <f t="array" aca="1" ref="C19" ca="1">_xlfn.LET(
_xlpm.d, IFERROR(INDEX(Property!C:C, MATCH("Date", Property!C:C, 0) + 1), ""),
_xlpm.c, IFERROR(INDEX(Property!D:D, MATCH("Closing Date", Property!D:D, 0) + 1), ""),
IF(
    OR(_xlpm.d="", _xlpm.d=0, _xlpm.d="NA", ISNA(_xlpm.d), _xlpm.d=DATE(1900,1,0)),
    IF(OR(_xlpm.c="", _xlpm.c=0, _xlpm.c="NA", ISNA(_xlpm.c), _xlpm.c=DATE(1900,1,0)), TODAY(), _xlpm.c),
    _xlpm.d
)
)</f>
        <v>46232</v>
      </c>
      <c r="E19" t="e">
        <v>#N/A</v>
      </c>
      <c r="F19" t="e">
        <v>#N/A</v>
      </c>
      <c r="G19" s="2" t="e">
        <v>#N/A</v>
      </c>
      <c r="H19" s="18" t="e">
        <v>#N/A</v>
      </c>
    </row>
    <row r="20" spans="1:8" x14ac:dyDescent="0.35">
      <c r="A20" t="e" cm="1">
        <f t="array" ref="A20">INDEX(Property!A:A, MATCH("Prop Code", Property!A:A, 0) + 1)</f>
        <v>#N/A</v>
      </c>
      <c r="B20" s="21" t="str" cm="1">
        <f t="array" ref="B20">_xlfn.LET(
_xlpm.primary, IFERROR(INDEX(Property!B:B, MATCH("Fund Code", Property!B:B, 0) + 1), ""),
_xlpm.fallback, IFERROR(INDEX(Property!A:A, MATCH("Fund", Property!A:A, 0) + 1), ""),
IF(
    (_xlpm.primary=0)+(_xlpm.primary="")+(_xlpm.primary="NA")+(_xlpm.primary="#N/A"),
    _xlpm.fallback,
    _xlpm.primary
)
)</f>
        <v/>
      </c>
      <c r="C20" s="2" cm="1">
        <f t="array" aca="1" ref="C20" ca="1">_xlfn.LET(
_xlpm.d, IFERROR(INDEX(Property!C:C, MATCH("Date", Property!C:C, 0) + 1), ""),
_xlpm.c, IFERROR(INDEX(Property!D:D, MATCH("Closing Date", Property!D:D, 0) + 1), ""),
IF(
    OR(_xlpm.d="", _xlpm.d=0, _xlpm.d="NA", ISNA(_xlpm.d), _xlpm.d=DATE(1900,1,0)),
    IF(OR(_xlpm.c="", _xlpm.c=0, _xlpm.c="NA", ISNA(_xlpm.c), _xlpm.c=DATE(1900,1,0)), TODAY(), _xlpm.c),
    _xlpm.d
)
)</f>
        <v>46232</v>
      </c>
      <c r="E20" t="e">
        <v>#N/A</v>
      </c>
      <c r="F20" t="e">
        <v>#N/A</v>
      </c>
      <c r="G20" s="2" t="e">
        <v>#N/A</v>
      </c>
      <c r="H20" s="18" t="e">
        <v>#N/A</v>
      </c>
    </row>
    <row r="21" spans="1:8" x14ac:dyDescent="0.35">
      <c r="A21" t="e" cm="1">
        <f t="array" ref="A21">INDEX(Property!A:A, MATCH("Prop Code", Property!A:A, 0) + 1)</f>
        <v>#N/A</v>
      </c>
      <c r="B21" s="21" t="str" cm="1">
        <f t="array" ref="B21">_xlfn.LET(
_xlpm.primary, IFERROR(INDEX(Property!B:B, MATCH("Fund Code", Property!B:B, 0) + 1), ""),
_xlpm.fallback, IFERROR(INDEX(Property!A:A, MATCH("Fund", Property!A:A, 0) + 1), ""),
IF(
    (_xlpm.primary=0)+(_xlpm.primary="")+(_xlpm.primary="NA")+(_xlpm.primary="#N/A"),
    _xlpm.fallback,
    _xlpm.primary
)
)</f>
        <v/>
      </c>
      <c r="C21" s="2" cm="1">
        <f t="array" aca="1" ref="C21" ca="1">_xlfn.LET(
_xlpm.d, IFERROR(INDEX(Property!C:C, MATCH("Date", Property!C:C, 0) + 1), ""),
_xlpm.c, IFERROR(INDEX(Property!D:D, MATCH("Closing Date", Property!D:D, 0) + 1), ""),
IF(
    OR(_xlpm.d="", _xlpm.d=0, _xlpm.d="NA", ISNA(_xlpm.d), _xlpm.d=DATE(1900,1,0)),
    IF(OR(_xlpm.c="", _xlpm.c=0, _xlpm.c="NA", ISNA(_xlpm.c), _xlpm.c=DATE(1900,1,0)), TODAY(), _xlpm.c),
    _xlpm.d
)
)</f>
        <v>46232</v>
      </c>
      <c r="E21" t="e">
        <v>#N/A</v>
      </c>
      <c r="F21" t="e">
        <v>#N/A</v>
      </c>
      <c r="G21" s="2" t="e">
        <v>#N/A</v>
      </c>
      <c r="H21" s="18" t="e">
        <v>#N/A</v>
      </c>
    </row>
    <row r="22" spans="1:8" x14ac:dyDescent="0.35">
      <c r="A22" t="e" cm="1">
        <f t="array" ref="A22">INDEX(Property!A:A, MATCH("Prop Code", Property!A:A, 0) + 1)</f>
        <v>#N/A</v>
      </c>
      <c r="B22" s="21" t="str" cm="1">
        <f t="array" ref="B22">_xlfn.LET(
_xlpm.primary, IFERROR(INDEX(Property!B:B, MATCH("Fund Code", Property!B:B, 0) + 1), ""),
_xlpm.fallback, IFERROR(INDEX(Property!A:A, MATCH("Fund", Property!A:A, 0) + 1), ""),
IF(
    (_xlpm.primary=0)+(_xlpm.primary="")+(_xlpm.primary="NA")+(_xlpm.primary="#N/A"),
    _xlpm.fallback,
    _xlpm.primary
)
)</f>
        <v/>
      </c>
      <c r="C22" s="2" cm="1">
        <f t="array" aca="1" ref="C22" ca="1">_xlfn.LET(
_xlpm.d, IFERROR(INDEX(Property!C:C, MATCH("Date", Property!C:C, 0) + 1), ""),
_xlpm.c, IFERROR(INDEX(Property!D:D, MATCH("Closing Date", Property!D:D, 0) + 1), ""),
IF(
    OR(_xlpm.d="", _xlpm.d=0, _xlpm.d="NA", ISNA(_xlpm.d), _xlpm.d=DATE(1900,1,0)),
    IF(OR(_xlpm.c="", _xlpm.c=0, _xlpm.c="NA", ISNA(_xlpm.c), _xlpm.c=DATE(1900,1,0)), TODAY(), _xlpm.c),
    _xlpm.d
)
)</f>
        <v>46232</v>
      </c>
      <c r="E22" t="e">
        <v>#N/A</v>
      </c>
      <c r="F22" t="e">
        <v>#N/A</v>
      </c>
      <c r="G22" s="2" t="e">
        <v>#N/A</v>
      </c>
      <c r="H22" s="18" t="e">
        <v>#N/A</v>
      </c>
    </row>
    <row r="23" spans="1:8" x14ac:dyDescent="0.35">
      <c r="A23" t="e" cm="1">
        <f t="array" ref="A23">INDEX(Property!A:A, MATCH("Prop Code", Property!A:A, 0) + 1)</f>
        <v>#N/A</v>
      </c>
      <c r="B23" s="21" t="str" cm="1">
        <f t="array" ref="B23">_xlfn.LET(
_xlpm.primary, IFERROR(INDEX(Property!B:B, MATCH("Fund Code", Property!B:B, 0) + 1), ""),
_xlpm.fallback, IFERROR(INDEX(Property!A:A, MATCH("Fund", Property!A:A, 0) + 1), ""),
IF(
    (_xlpm.primary=0)+(_xlpm.primary="")+(_xlpm.primary="NA")+(_xlpm.primary="#N/A"),
    _xlpm.fallback,
    _xlpm.primary
)
)</f>
        <v/>
      </c>
      <c r="C23" s="2" cm="1">
        <f t="array" aca="1" ref="C23" ca="1">_xlfn.LET(
_xlpm.d, IFERROR(INDEX(Property!C:C, MATCH("Date", Property!C:C, 0) + 1), ""),
_xlpm.c, IFERROR(INDEX(Property!D:D, MATCH("Closing Date", Property!D:D, 0) + 1), ""),
IF(
    OR(_xlpm.d="", _xlpm.d=0, _xlpm.d="NA", ISNA(_xlpm.d), _xlpm.d=DATE(1900,1,0)),
    IF(OR(_xlpm.c="", _xlpm.c=0, _xlpm.c="NA", ISNA(_xlpm.c), _xlpm.c=DATE(1900,1,0)), TODAY(), _xlpm.c),
    _xlpm.d
)
)</f>
        <v>46232</v>
      </c>
      <c r="E23" t="e">
        <v>#N/A</v>
      </c>
      <c r="F23" t="e">
        <v>#N/A</v>
      </c>
      <c r="G23" s="2" t="e">
        <v>#N/A</v>
      </c>
      <c r="H23" s="18" t="e">
        <v>#N/A</v>
      </c>
    </row>
    <row r="24" spans="1:8" x14ac:dyDescent="0.35">
      <c r="A24" t="e" cm="1">
        <f t="array" ref="A24">INDEX(Property!A:A, MATCH("Prop Code", Property!A:A, 0) + 1)</f>
        <v>#N/A</v>
      </c>
      <c r="B24" s="21" t="str" cm="1">
        <f t="array" ref="B24">_xlfn.LET(
_xlpm.primary, IFERROR(INDEX(Property!B:B, MATCH("Fund Code", Property!B:B, 0) + 1), ""),
_xlpm.fallback, IFERROR(INDEX(Property!A:A, MATCH("Fund", Property!A:A, 0) + 1), ""),
IF(
    (_xlpm.primary=0)+(_xlpm.primary="")+(_xlpm.primary="NA")+(_xlpm.primary="#N/A"),
    _xlpm.fallback,
    _xlpm.primary
)
)</f>
        <v/>
      </c>
      <c r="C24" s="2" cm="1">
        <f t="array" aca="1" ref="C24" ca="1">_xlfn.LET(
_xlpm.d, IFERROR(INDEX(Property!C:C, MATCH("Date", Property!C:C, 0) + 1), ""),
_xlpm.c, IFERROR(INDEX(Property!D:D, MATCH("Closing Date", Property!D:D, 0) + 1), ""),
IF(
    OR(_xlpm.d="", _xlpm.d=0, _xlpm.d="NA", ISNA(_xlpm.d), _xlpm.d=DATE(1900,1,0)),
    IF(OR(_xlpm.c="", _xlpm.c=0, _xlpm.c="NA", ISNA(_xlpm.c), _xlpm.c=DATE(1900,1,0)), TODAY(), _xlpm.c),
    _xlpm.d
)
)</f>
        <v>46232</v>
      </c>
      <c r="E24" t="e">
        <v>#N/A</v>
      </c>
      <c r="F24" t="e">
        <v>#N/A</v>
      </c>
      <c r="G24" s="2" t="e">
        <v>#N/A</v>
      </c>
      <c r="H24" s="18" t="e">
        <v>#N/A</v>
      </c>
    </row>
    <row r="25" spans="1:8" x14ac:dyDescent="0.35">
      <c r="A25" t="e" cm="1">
        <f t="array" ref="A25">INDEX(Property!A:A, MATCH("Prop Code", Property!A:A, 0) + 1)</f>
        <v>#N/A</v>
      </c>
      <c r="B25" s="21" t="str" cm="1">
        <f t="array" ref="B25">_xlfn.LET(
_xlpm.primary, IFERROR(INDEX(Property!B:B, MATCH("Fund Code", Property!B:B, 0) + 1), ""),
_xlpm.fallback, IFERROR(INDEX(Property!A:A, MATCH("Fund", Property!A:A, 0) + 1), ""),
IF(
    (_xlpm.primary=0)+(_xlpm.primary="")+(_xlpm.primary="NA")+(_xlpm.primary="#N/A"),
    _xlpm.fallback,
    _xlpm.primary
)
)</f>
        <v/>
      </c>
      <c r="C25" s="2" cm="1">
        <f t="array" aca="1" ref="C25" ca="1">_xlfn.LET(
_xlpm.d, IFERROR(INDEX(Property!C:C, MATCH("Date", Property!C:C, 0) + 1), ""),
_xlpm.c, IFERROR(INDEX(Property!D:D, MATCH("Closing Date", Property!D:D, 0) + 1), ""),
IF(
    OR(_xlpm.d="", _xlpm.d=0, _xlpm.d="NA", ISNA(_xlpm.d), _xlpm.d=DATE(1900,1,0)),
    IF(OR(_xlpm.c="", _xlpm.c=0, _xlpm.c="NA", ISNA(_xlpm.c), _xlpm.c=DATE(1900,1,0)), TODAY(), _xlpm.c),
    _xlpm.d
)
)</f>
        <v>46232</v>
      </c>
      <c r="E25" t="e">
        <v>#N/A</v>
      </c>
      <c r="F25" t="e">
        <v>#N/A</v>
      </c>
      <c r="G25" s="2" t="e">
        <v>#N/A</v>
      </c>
      <c r="H25" s="18" t="e">
        <v>#N/A</v>
      </c>
    </row>
    <row r="26" spans="1:8" x14ac:dyDescent="0.35">
      <c r="A26" t="e" cm="1">
        <f t="array" ref="A26">INDEX(Property!A:A, MATCH("Prop Code", Property!A:A, 0) + 1)</f>
        <v>#N/A</v>
      </c>
      <c r="B26" s="21" t="str" cm="1">
        <f t="array" ref="B26">_xlfn.LET(
_xlpm.primary, IFERROR(INDEX(Property!B:B, MATCH("Fund Code", Property!B:B, 0) + 1), ""),
_xlpm.fallback, IFERROR(INDEX(Property!A:A, MATCH("Fund", Property!A:A, 0) + 1), ""),
IF(
    (_xlpm.primary=0)+(_xlpm.primary="")+(_xlpm.primary="NA")+(_xlpm.primary="#N/A"),
    _xlpm.fallback,
    _xlpm.primary
)
)</f>
        <v/>
      </c>
      <c r="C26" s="2" cm="1">
        <f t="array" aca="1" ref="C26" ca="1">_xlfn.LET(
_xlpm.d, IFERROR(INDEX(Property!C:C, MATCH("Date", Property!C:C, 0) + 1), ""),
_xlpm.c, IFERROR(INDEX(Property!D:D, MATCH("Closing Date", Property!D:D, 0) + 1), ""),
IF(
    OR(_xlpm.d="", _xlpm.d=0, _xlpm.d="NA", ISNA(_xlpm.d), _xlpm.d=DATE(1900,1,0)),
    IF(OR(_xlpm.c="", _xlpm.c=0, _xlpm.c="NA", ISNA(_xlpm.c), _xlpm.c=DATE(1900,1,0)), TODAY(), _xlpm.c),
    _xlpm.d
)
)</f>
        <v>46232</v>
      </c>
      <c r="E26" t="e">
        <v>#N/A</v>
      </c>
      <c r="F26" t="e">
        <v>#N/A</v>
      </c>
      <c r="G26" s="2" t="e">
        <v>#N/A</v>
      </c>
      <c r="H26" s="18" t="e">
        <v>#N/A</v>
      </c>
    </row>
    <row r="27" spans="1:8" x14ac:dyDescent="0.35">
      <c r="A27" t="e" cm="1">
        <f t="array" ref="A27">INDEX(Property!A:A, MATCH("Prop Code", Property!A:A, 0) + 1)</f>
        <v>#N/A</v>
      </c>
      <c r="B27" s="21" t="str" cm="1">
        <f t="array" ref="B27">_xlfn.LET(
_xlpm.primary, IFERROR(INDEX(Property!B:B, MATCH("Fund Code", Property!B:B, 0) + 1), ""),
_xlpm.fallback, IFERROR(INDEX(Property!A:A, MATCH("Fund", Property!A:A, 0) + 1), ""),
IF(
    (_xlpm.primary=0)+(_xlpm.primary="")+(_xlpm.primary="NA")+(_xlpm.primary="#N/A"),
    _xlpm.fallback,
    _xlpm.primary
)
)</f>
        <v/>
      </c>
      <c r="C27" s="2" cm="1">
        <f t="array" aca="1" ref="C27" ca="1">_xlfn.LET(
_xlpm.d, IFERROR(INDEX(Property!C:C, MATCH("Date", Property!C:C, 0) + 1), ""),
_xlpm.c, IFERROR(INDEX(Property!D:D, MATCH("Closing Date", Property!D:D, 0) + 1), ""),
IF(
    OR(_xlpm.d="", _xlpm.d=0, _xlpm.d="NA", ISNA(_xlpm.d), _xlpm.d=DATE(1900,1,0)),
    IF(OR(_xlpm.c="", _xlpm.c=0, _xlpm.c="NA", ISNA(_xlpm.c), _xlpm.c=DATE(1900,1,0)), TODAY(), _xlpm.c),
    _xlpm.d
)
)</f>
        <v>46232</v>
      </c>
      <c r="E27" t="e">
        <v>#N/A</v>
      </c>
      <c r="F27" t="e">
        <v>#N/A</v>
      </c>
      <c r="G27" s="2" t="e">
        <v>#N/A</v>
      </c>
      <c r="H27" s="18" t="e">
        <v>#N/A</v>
      </c>
    </row>
    <row r="28" spans="1:8" x14ac:dyDescent="0.35">
      <c r="A28" t="e" cm="1">
        <f t="array" ref="A28">INDEX(Property!A:A, MATCH("Prop Code", Property!A:A, 0) + 1)</f>
        <v>#N/A</v>
      </c>
      <c r="B28" s="21" t="str" cm="1">
        <f t="array" ref="B28">_xlfn.LET(
_xlpm.primary, IFERROR(INDEX(Property!B:B, MATCH("Fund Code", Property!B:B, 0) + 1), ""),
_xlpm.fallback, IFERROR(INDEX(Property!A:A, MATCH("Fund", Property!A:A, 0) + 1), ""),
IF(
    (_xlpm.primary=0)+(_xlpm.primary="")+(_xlpm.primary="NA")+(_xlpm.primary="#N/A"),
    _xlpm.fallback,
    _xlpm.primary
)
)</f>
        <v/>
      </c>
      <c r="C28" s="2" cm="1">
        <f t="array" aca="1" ref="C28" ca="1">_xlfn.LET(
_xlpm.d, IFERROR(INDEX(Property!C:C, MATCH("Date", Property!C:C, 0) + 1), ""),
_xlpm.c, IFERROR(INDEX(Property!D:D, MATCH("Closing Date", Property!D:D, 0) + 1), ""),
IF(
    OR(_xlpm.d="", _xlpm.d=0, _xlpm.d="NA", ISNA(_xlpm.d), _xlpm.d=DATE(1900,1,0)),
    IF(OR(_xlpm.c="", _xlpm.c=0, _xlpm.c="NA", ISNA(_xlpm.c), _xlpm.c=DATE(1900,1,0)), TODAY(), _xlpm.c),
    _xlpm.d
)
)</f>
        <v>46232</v>
      </c>
      <c r="E28" t="e">
        <v>#N/A</v>
      </c>
      <c r="F28" t="e">
        <v>#N/A</v>
      </c>
      <c r="G28" s="2" t="e">
        <v>#N/A</v>
      </c>
      <c r="H28" s="18" t="e">
        <v>#N/A</v>
      </c>
    </row>
    <row r="29" spans="1:8" x14ac:dyDescent="0.35">
      <c r="A29" t="e" cm="1">
        <f t="array" ref="A29">INDEX(Property!A:A, MATCH("Prop Code", Property!A:A, 0) + 1)</f>
        <v>#N/A</v>
      </c>
      <c r="B29" s="21" t="str" cm="1">
        <f t="array" ref="B29">_xlfn.LET(
_xlpm.primary, IFERROR(INDEX(Property!B:B, MATCH("Fund Code", Property!B:B, 0) + 1), ""),
_xlpm.fallback, IFERROR(INDEX(Property!A:A, MATCH("Fund", Property!A:A, 0) + 1), ""),
IF(
    (_xlpm.primary=0)+(_xlpm.primary="")+(_xlpm.primary="NA")+(_xlpm.primary="#N/A"),
    _xlpm.fallback,
    _xlpm.primary
)
)</f>
        <v/>
      </c>
      <c r="C29" s="2" cm="1">
        <f t="array" aca="1" ref="C29" ca="1">_xlfn.LET(
_xlpm.d, IFERROR(INDEX(Property!C:C, MATCH("Date", Property!C:C, 0) + 1), ""),
_xlpm.c, IFERROR(INDEX(Property!D:D, MATCH("Closing Date", Property!D:D, 0) + 1), ""),
IF(
    OR(_xlpm.d="", _xlpm.d=0, _xlpm.d="NA", ISNA(_xlpm.d), _xlpm.d=DATE(1900,1,0)),
    IF(OR(_xlpm.c="", _xlpm.c=0, _xlpm.c="NA", ISNA(_xlpm.c), _xlpm.c=DATE(1900,1,0)), TODAY(), _xlpm.c),
    _xlpm.d
)
)</f>
        <v>46232</v>
      </c>
      <c r="E29" t="e">
        <v>#N/A</v>
      </c>
      <c r="F29" t="e">
        <v>#N/A</v>
      </c>
      <c r="G29" s="2" t="e">
        <v>#N/A</v>
      </c>
      <c r="H29" s="18" t="e">
        <v>#N/A</v>
      </c>
    </row>
    <row r="30" spans="1:8" x14ac:dyDescent="0.35">
      <c r="A30" t="e" cm="1">
        <f t="array" ref="A30">INDEX(Property!A:A, MATCH("Prop Code", Property!A:A, 0) + 1)</f>
        <v>#N/A</v>
      </c>
      <c r="B30" s="21" t="str" cm="1">
        <f t="array" ref="B30">_xlfn.LET(
_xlpm.primary, IFERROR(INDEX(Property!B:B, MATCH("Fund Code", Property!B:B, 0) + 1), ""),
_xlpm.fallback, IFERROR(INDEX(Property!A:A, MATCH("Fund", Property!A:A, 0) + 1), ""),
IF(
    (_xlpm.primary=0)+(_xlpm.primary="")+(_xlpm.primary="NA")+(_xlpm.primary="#N/A"),
    _xlpm.fallback,
    _xlpm.primary
)
)</f>
        <v/>
      </c>
      <c r="C30" s="2" cm="1">
        <f t="array" aca="1" ref="C30" ca="1">_xlfn.LET(
_xlpm.d, IFERROR(INDEX(Property!C:C, MATCH("Date", Property!C:C, 0) + 1), ""),
_xlpm.c, IFERROR(INDEX(Property!D:D, MATCH("Closing Date", Property!D:D, 0) + 1), ""),
IF(
    OR(_xlpm.d="", _xlpm.d=0, _xlpm.d="NA", ISNA(_xlpm.d), _xlpm.d=DATE(1900,1,0)),
    IF(OR(_xlpm.c="", _xlpm.c=0, _xlpm.c="NA", ISNA(_xlpm.c), _xlpm.c=DATE(1900,1,0)), TODAY(), _xlpm.c),
    _xlpm.d
)
)</f>
        <v>46232</v>
      </c>
      <c r="E30" t="e">
        <v>#N/A</v>
      </c>
      <c r="F30" t="e">
        <v>#N/A</v>
      </c>
      <c r="G30" s="2" t="e">
        <v>#N/A</v>
      </c>
      <c r="H30" s="18" t="e">
        <v>#N/A</v>
      </c>
    </row>
    <row r="31" spans="1:8" x14ac:dyDescent="0.35">
      <c r="A31" t="e" cm="1">
        <f t="array" ref="A31">INDEX(Property!A:A, MATCH("Prop Code", Property!A:A, 0) + 1)</f>
        <v>#N/A</v>
      </c>
      <c r="B31" s="21" t="str" cm="1">
        <f t="array" ref="B31">_xlfn.LET(
_xlpm.primary, IFERROR(INDEX(Property!B:B, MATCH("Fund Code", Property!B:B, 0) + 1), ""),
_xlpm.fallback, IFERROR(INDEX(Property!A:A, MATCH("Fund", Property!A:A, 0) + 1), ""),
IF(
    (_xlpm.primary=0)+(_xlpm.primary="")+(_xlpm.primary="NA")+(_xlpm.primary="#N/A"),
    _xlpm.fallback,
    _xlpm.primary
)
)</f>
        <v/>
      </c>
      <c r="C31" s="2" cm="1">
        <f t="array" aca="1" ref="C31" ca="1">_xlfn.LET(
_xlpm.d, IFERROR(INDEX(Property!C:C, MATCH("Date", Property!C:C, 0) + 1), ""),
_xlpm.c, IFERROR(INDEX(Property!D:D, MATCH("Closing Date", Property!D:D, 0) + 1), ""),
IF(
    OR(_xlpm.d="", _xlpm.d=0, _xlpm.d="NA", ISNA(_xlpm.d), _xlpm.d=DATE(1900,1,0)),
    IF(OR(_xlpm.c="", _xlpm.c=0, _xlpm.c="NA", ISNA(_xlpm.c), _xlpm.c=DATE(1900,1,0)), TODAY(), _xlpm.c),
    _xlpm.d
)
)</f>
        <v>46232</v>
      </c>
      <c r="E31" t="e">
        <v>#N/A</v>
      </c>
      <c r="F31" t="e">
        <v>#N/A</v>
      </c>
      <c r="G31" s="2" t="e">
        <v>#N/A</v>
      </c>
      <c r="H31" s="18" t="e">
        <v>#N/A</v>
      </c>
    </row>
    <row r="32" spans="1:8" x14ac:dyDescent="0.35">
      <c r="A32" t="e" cm="1">
        <f t="array" ref="A32">INDEX(Property!A:A, MATCH("Prop Code", Property!A:A, 0) + 1)</f>
        <v>#N/A</v>
      </c>
      <c r="B32" s="21" t="str" cm="1">
        <f t="array" ref="B32">_xlfn.LET(
_xlpm.primary, IFERROR(INDEX(Property!B:B, MATCH("Fund Code", Property!B:B, 0) + 1), ""),
_xlpm.fallback, IFERROR(INDEX(Property!A:A, MATCH("Fund", Property!A:A, 0) + 1), ""),
IF(
    (_xlpm.primary=0)+(_xlpm.primary="")+(_xlpm.primary="NA")+(_xlpm.primary="#N/A"),
    _xlpm.fallback,
    _xlpm.primary
)
)</f>
        <v/>
      </c>
      <c r="C32" s="2" cm="1">
        <f t="array" aca="1" ref="C32" ca="1">_xlfn.LET(
_xlpm.d, IFERROR(INDEX(Property!C:C, MATCH("Date", Property!C:C, 0) + 1), ""),
_xlpm.c, IFERROR(INDEX(Property!D:D, MATCH("Closing Date", Property!D:D, 0) + 1), ""),
IF(
    OR(_xlpm.d="", _xlpm.d=0, _xlpm.d="NA", ISNA(_xlpm.d), _xlpm.d=DATE(1900,1,0)),
    IF(OR(_xlpm.c="", _xlpm.c=0, _xlpm.c="NA", ISNA(_xlpm.c), _xlpm.c=DATE(1900,1,0)), TODAY(), _xlpm.c),
    _xlpm.d
)
)</f>
        <v>46232</v>
      </c>
      <c r="E32" t="e">
        <v>#N/A</v>
      </c>
      <c r="F32" t="e">
        <v>#N/A</v>
      </c>
      <c r="G32" s="2" t="e">
        <v>#N/A</v>
      </c>
      <c r="H32" s="18" t="e">
        <v>#N/A</v>
      </c>
    </row>
    <row r="33" spans="1:8" x14ac:dyDescent="0.35">
      <c r="A33" t="e" cm="1">
        <f t="array" ref="A33">INDEX(Property!A:A, MATCH("Prop Code", Property!A:A, 0) + 1)</f>
        <v>#N/A</v>
      </c>
      <c r="B33" s="21" t="str" cm="1">
        <f t="array" ref="B33">_xlfn.LET(
_xlpm.primary, IFERROR(INDEX(Property!B:B, MATCH("Fund Code", Property!B:B, 0) + 1), ""),
_xlpm.fallback, IFERROR(INDEX(Property!A:A, MATCH("Fund", Property!A:A, 0) + 1), ""),
IF(
    (_xlpm.primary=0)+(_xlpm.primary="")+(_xlpm.primary="NA")+(_xlpm.primary="#N/A"),
    _xlpm.fallback,
    _xlpm.primary
)
)</f>
        <v/>
      </c>
      <c r="C33" s="2" cm="1">
        <f t="array" aca="1" ref="C33" ca="1">_xlfn.LET(
_xlpm.d, IFERROR(INDEX(Property!C:C, MATCH("Date", Property!C:C, 0) + 1), ""),
_xlpm.c, IFERROR(INDEX(Property!D:D, MATCH("Closing Date", Property!D:D, 0) + 1), ""),
IF(
    OR(_xlpm.d="", _xlpm.d=0, _xlpm.d="NA", ISNA(_xlpm.d), _xlpm.d=DATE(1900,1,0)),
    IF(OR(_xlpm.c="", _xlpm.c=0, _xlpm.c="NA", ISNA(_xlpm.c), _xlpm.c=DATE(1900,1,0)), TODAY(), _xlpm.c),
    _xlpm.d
)
)</f>
        <v>46232</v>
      </c>
      <c r="E33" t="e">
        <v>#N/A</v>
      </c>
      <c r="F33" t="e">
        <v>#N/A</v>
      </c>
      <c r="G33" s="2" t="e">
        <v>#N/A</v>
      </c>
      <c r="H33" s="18" t="e">
        <v>#N/A</v>
      </c>
    </row>
    <row r="34" spans="1:8" x14ac:dyDescent="0.35">
      <c r="A34" t="e" cm="1">
        <f t="array" ref="A34">INDEX(Property!A:A, MATCH("Prop Code", Property!A:A, 0) + 1)</f>
        <v>#N/A</v>
      </c>
      <c r="B34" s="21" t="str" cm="1">
        <f t="array" ref="B34">_xlfn.LET(
_xlpm.primary, IFERROR(INDEX(Property!B:B, MATCH("Fund Code", Property!B:B, 0) + 1), ""),
_xlpm.fallback, IFERROR(INDEX(Property!A:A, MATCH("Fund", Property!A:A, 0) + 1), ""),
IF(
    (_xlpm.primary=0)+(_xlpm.primary="")+(_xlpm.primary="NA")+(_xlpm.primary="#N/A"),
    _xlpm.fallback,
    _xlpm.primary
)
)</f>
        <v/>
      </c>
      <c r="C34" s="2" cm="1">
        <f t="array" aca="1" ref="C34" ca="1">_xlfn.LET(
_xlpm.d, IFERROR(INDEX(Property!C:C, MATCH("Date", Property!C:C, 0) + 1), ""),
_xlpm.c, IFERROR(INDEX(Property!D:D, MATCH("Closing Date", Property!D:D, 0) + 1), ""),
IF(
    OR(_xlpm.d="", _xlpm.d=0, _xlpm.d="NA", ISNA(_xlpm.d), _xlpm.d=DATE(1900,1,0)),
    IF(OR(_xlpm.c="", _xlpm.c=0, _xlpm.c="NA", ISNA(_xlpm.c), _xlpm.c=DATE(1900,1,0)), TODAY(), _xlpm.c),
    _xlpm.d
)
)</f>
        <v>46232</v>
      </c>
      <c r="E34" t="e">
        <v>#N/A</v>
      </c>
      <c r="F34" t="e">
        <v>#N/A</v>
      </c>
      <c r="G34" s="2" t="e">
        <v>#N/A</v>
      </c>
      <c r="H34" s="18" t="e">
        <v>#N/A</v>
      </c>
    </row>
    <row r="35" spans="1:8" x14ac:dyDescent="0.35">
      <c r="A35" t="e" cm="1">
        <f t="array" ref="A35">INDEX(Property!A:A, MATCH("Prop Code", Property!A:A, 0) + 1)</f>
        <v>#N/A</v>
      </c>
      <c r="B35" s="21" t="str" cm="1">
        <f t="array" ref="B35">_xlfn.LET(
_xlpm.primary, IFERROR(INDEX(Property!B:B, MATCH("Fund Code", Property!B:B, 0) + 1), ""),
_xlpm.fallback, IFERROR(INDEX(Property!A:A, MATCH("Fund", Property!A:A, 0) + 1), ""),
IF(
    (_xlpm.primary=0)+(_xlpm.primary="")+(_xlpm.primary="NA")+(_xlpm.primary="#N/A"),
    _xlpm.fallback,
    _xlpm.primary
)
)</f>
        <v/>
      </c>
      <c r="C35" s="2" cm="1">
        <f t="array" aca="1" ref="C35" ca="1">_xlfn.LET(
_xlpm.d, IFERROR(INDEX(Property!C:C, MATCH("Date", Property!C:C, 0) + 1), ""),
_xlpm.c, IFERROR(INDEX(Property!D:D, MATCH("Closing Date", Property!D:D, 0) + 1), ""),
IF(
    OR(_xlpm.d="", _xlpm.d=0, _xlpm.d="NA", ISNA(_xlpm.d), _xlpm.d=DATE(1900,1,0)),
    IF(OR(_xlpm.c="", _xlpm.c=0, _xlpm.c="NA", ISNA(_xlpm.c), _xlpm.c=DATE(1900,1,0)), TODAY(), _xlpm.c),
    _xlpm.d
)
)</f>
        <v>46232</v>
      </c>
      <c r="E35" t="e">
        <v>#N/A</v>
      </c>
      <c r="F35" t="e">
        <v>#N/A</v>
      </c>
      <c r="G35" s="2" t="e">
        <v>#N/A</v>
      </c>
      <c r="H35" s="18" t="e">
        <v>#N/A</v>
      </c>
    </row>
    <row r="36" spans="1:8" x14ac:dyDescent="0.35">
      <c r="A36" t="e" cm="1">
        <f t="array" ref="A36">INDEX(Property!A:A, MATCH("Prop Code", Property!A:A, 0) + 1)</f>
        <v>#N/A</v>
      </c>
      <c r="B36" s="21" t="str" cm="1">
        <f t="array" ref="B36">_xlfn.LET(
_xlpm.primary, IFERROR(INDEX(Property!B:B, MATCH("Fund Code", Property!B:B, 0) + 1), ""),
_xlpm.fallback, IFERROR(INDEX(Property!A:A, MATCH("Fund", Property!A:A, 0) + 1), ""),
IF(
    (_xlpm.primary=0)+(_xlpm.primary="")+(_xlpm.primary="NA")+(_xlpm.primary="#N/A"),
    _xlpm.fallback,
    _xlpm.primary
)
)</f>
        <v/>
      </c>
      <c r="C36" s="2" cm="1">
        <f t="array" aca="1" ref="C36" ca="1">_xlfn.LET(
_xlpm.d, IFERROR(INDEX(Property!C:C, MATCH("Date", Property!C:C, 0) + 1), ""),
_xlpm.c, IFERROR(INDEX(Property!D:D, MATCH("Closing Date", Property!D:D, 0) + 1), ""),
IF(
    OR(_xlpm.d="", _xlpm.d=0, _xlpm.d="NA", ISNA(_xlpm.d), _xlpm.d=DATE(1900,1,0)),
    IF(OR(_xlpm.c="", _xlpm.c=0, _xlpm.c="NA", ISNA(_xlpm.c), _xlpm.c=DATE(1900,1,0)), TODAY(), _xlpm.c),
    _xlpm.d
)
)</f>
        <v>46232</v>
      </c>
      <c r="E36" t="e">
        <v>#N/A</v>
      </c>
      <c r="F36" t="e">
        <v>#N/A</v>
      </c>
      <c r="G36" s="2" t="e">
        <v>#N/A</v>
      </c>
      <c r="H36" s="18" t="e">
        <v>#N/A</v>
      </c>
    </row>
  </sheetData>
  <mergeCells count="1">
    <mergeCell ref="A1:H1"/>
  </mergeCells>
  <phoneticPr fontId="9" type="noConversion"/>
  <conditionalFormatting sqref="A3:H4">
    <cfRule type="expression" dxfId="9" priority="4">
      <formula>OR($E3="",$E3=0,$E3="NA",$E3="N/A")</formula>
    </cfRule>
  </conditionalFormatting>
  <conditionalFormatting sqref="A3:H36">
    <cfRule type="expression" dxfId="8" priority="1">
      <formula>ISERROR($E3)</formula>
    </cfRule>
  </conditionalFormatting>
  <conditionalFormatting sqref="A5:H36">
    <cfRule type="expression" dxfId="7" priority="2">
      <formula>OR(ISNA($E5), $E5="NA", $E5="#N/A",$E5=0,ISNA($E5), $E5="",$G5&lt;TODAY())</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A8CD9-7322-49AE-AC6B-B7D033CB65D2}">
  <dimension ref="A1:H34"/>
  <sheetViews>
    <sheetView zoomScale="85" zoomScaleNormal="85" workbookViewId="0">
      <selection activeCell="H22" sqref="H22"/>
    </sheetView>
  </sheetViews>
  <sheetFormatPr defaultRowHeight="14.5" x14ac:dyDescent="0.35"/>
  <cols>
    <col min="1" max="1" width="32.81640625" customWidth="1"/>
    <col min="2" max="2" width="58.26953125" customWidth="1"/>
    <col min="3" max="3" width="18.08984375" style="2" customWidth="1"/>
    <col min="4" max="4" width="16.1796875" customWidth="1"/>
    <col min="5" max="5" width="20.453125" customWidth="1"/>
    <col min="6" max="6" width="27.1796875" customWidth="1"/>
    <col min="7" max="7" width="22.81640625" customWidth="1"/>
    <col min="8" max="8" width="33" customWidth="1"/>
    <col min="9" max="9" width="24.54296875" customWidth="1"/>
  </cols>
  <sheetData>
    <row r="1" spans="1:8" ht="157.5" customHeight="1" x14ac:dyDescent="0.35">
      <c r="A1" s="73" t="s">
        <v>112</v>
      </c>
      <c r="B1" s="74"/>
      <c r="C1" s="74"/>
      <c r="D1" s="74"/>
      <c r="E1" s="74"/>
      <c r="F1" s="74"/>
      <c r="G1" s="75"/>
      <c r="H1" s="54" t="s">
        <v>67</v>
      </c>
    </row>
    <row r="2" spans="1:8" x14ac:dyDescent="0.35">
      <c r="A2" s="59" t="s">
        <v>13</v>
      </c>
      <c r="B2" s="59" t="s">
        <v>22</v>
      </c>
      <c r="C2" s="60" t="s">
        <v>63</v>
      </c>
      <c r="D2" s="59" t="s">
        <v>64</v>
      </c>
      <c r="E2" s="59" t="s">
        <v>65</v>
      </c>
      <c r="F2" s="61" t="s">
        <v>66</v>
      </c>
      <c r="G2" s="59" t="s">
        <v>26</v>
      </c>
    </row>
    <row r="3" spans="1:8" x14ac:dyDescent="0.35">
      <c r="A3" s="19" t="e" cm="1">
        <f t="array" ref="A3">INDEX(Property!A:A, MATCH("Prop Code", Property!A:A, 0) + 1)</f>
        <v>#N/A</v>
      </c>
      <c r="B3" t="str" cm="1">
        <f t="array" ref="B3">_xlfn.LET(
_xlpm.primary, IFERROR(INDEX(Property!B:B, MATCH("Fund Code", Property!B:B, 0) + 1), ""),
_xlpm.fallback, IFERROR(INDEX(Property!A:A, MATCH("Fund", Property!A:A, 0) + 1), ""),
IF(
    (_xlpm.primary=0)+(_xlpm.primary="")+(_xlpm.primary="NA")+(_xlpm.primary="#N/A"),
    _xlpm.fallback,
    _xlpm.primary
)
)</f>
        <v/>
      </c>
      <c r="C3" s="2" t="e" cm="1">
        <f t="array" ref="C3:C34">IFERROR(
    IF(INDEX(Property!A:A, MATCH("Date", Property!A:A, 0) + _xlfn.SEQUENCE(32))="", "",
       IF(INDEX(Property!A:A, MATCH("Date", Property!A:A, 0) + _xlfn.SEQUENCE(32))=0, "",
          INDEX(Property!A:A, MATCH("Date", Property!A:A, 0) + _xlfn.SEQUENCE(32)))),
    IF(INDEX(Property!D:D, MATCH("Projected Date", Property!D:D, 0) + _xlfn.SEQUENCE(32))="", "",
       IF(INDEX(Property!D:D, MATCH("Projected Date", Property!D:D, 0) + _xlfn.SEQUENCE(32))=0, "",
          INDEX(Property!D:D, MATCH("Projected Date", Property!D:D, 0) + _xlfn.SEQUENCE(32))))
)</f>
        <v>#N/A</v>
      </c>
      <c r="E3" t="e" cm="1">
        <f t="array" ref="E3:E34">IFERROR(
    INDEX(Property!F:F, MATCH("Amount", Property!F:F, 0) + _xlfn.SEQUENCE(32)),
    INDEX(Property!B:B, MATCH("Contribution Amount", Property!B:B, 0) + _xlfn.SEQUENCE(32)))</f>
        <v>#N/A</v>
      </c>
      <c r="F3" t="e" cm="1">
        <f t="array" ref="F3:F34">IFERROR(
    INDEX(Property!G:G, MATCH("Type", Property!G:G, 0) + _xlfn.SEQUENCE(32)),
    INDEX(Property!C:C, MATCH("Type", Property!C:C, 0) + _xlfn.SEQUENCE(32))
)</f>
        <v>#N/A</v>
      </c>
      <c r="G3" s="18" t="e" cm="1">
        <f t="array" ref="G3:G34">IFERROR(
    INDEX(Property!D:D, MATCH("Credit Type", Property!D:D, 0) + _xlfn.SEQUENCE(32)),
    INDEX(Property!H:H, MATCH("Credit Type", Property!H:H, 0) + _xlfn.SEQUENCE(32))
)</f>
        <v>#N/A</v>
      </c>
    </row>
    <row r="4" spans="1:8" x14ac:dyDescent="0.35">
      <c r="A4" s="18" t="e" cm="1">
        <f t="array" ref="A4">INDEX(Property!A:A, MATCH("Prop Code", Property!A:A, 0) + 1)</f>
        <v>#N/A</v>
      </c>
      <c r="B4" t="str" cm="1">
        <f t="array" ref="B4">_xlfn.LET(
_xlpm.primary, IFERROR(INDEX(Property!B:B, MATCH("Fund Code", Property!B:B, 0) + 1), ""),
_xlpm.fallback, IFERROR(INDEX(Property!A:A, MATCH("Fund", Property!A:A, 0) + 1), ""),
IF(
    (_xlpm.primary=0)+(_xlpm.primary="")+(_xlpm.primary="NA")+(_xlpm.primary="#N/A"),
    _xlpm.fallback,
    _xlpm.primary
)
)</f>
        <v/>
      </c>
      <c r="C4" s="2" t="e">
        <v>#N/A</v>
      </c>
      <c r="E4" t="e">
        <v>#N/A</v>
      </c>
      <c r="F4" t="e">
        <v>#N/A</v>
      </c>
      <c r="G4" s="18" t="e">
        <v>#N/A</v>
      </c>
    </row>
    <row r="5" spans="1:8" x14ac:dyDescent="0.35">
      <c r="A5" s="18" t="e" cm="1">
        <f t="array" ref="A5">INDEX(Property!A:A, MATCH("Prop Code", Property!A:A, 0) + 1)</f>
        <v>#N/A</v>
      </c>
      <c r="B5" t="str" cm="1">
        <f t="array" ref="B5">_xlfn.LET(
_xlpm.primary, IFERROR(INDEX(Property!B:B, MATCH("Fund Code", Property!B:B, 0) + 1), ""),
_xlpm.fallback, IFERROR(INDEX(Property!A:A, MATCH("Fund", Property!A:A, 0) + 1), ""),
IF(
    (_xlpm.primary=0)+(_xlpm.primary="")+(_xlpm.primary="NA")+(_xlpm.primary="#N/A"),
    _xlpm.fallback,
    _xlpm.primary
)
)</f>
        <v/>
      </c>
      <c r="C5" s="2" t="e">
        <v>#N/A</v>
      </c>
      <c r="E5" t="e">
        <v>#N/A</v>
      </c>
      <c r="F5" t="e">
        <v>#N/A</v>
      </c>
      <c r="G5" s="18" t="e">
        <v>#N/A</v>
      </c>
    </row>
    <row r="6" spans="1:8" x14ac:dyDescent="0.35">
      <c r="A6" s="18" t="e" cm="1">
        <f t="array" ref="A6">INDEX(Property!A:A, MATCH("Prop Code", Property!A:A, 0) + 1)</f>
        <v>#N/A</v>
      </c>
      <c r="B6" t="str" cm="1">
        <f t="array" ref="B6">_xlfn.LET(
_xlpm.primary, IFERROR(INDEX(Property!B:B, MATCH("Fund Code", Property!B:B, 0) + 1), ""),
_xlpm.fallback, IFERROR(INDEX(Property!A:A, MATCH("Fund", Property!A:A, 0) + 1), ""),
IF(
    (_xlpm.primary=0)+(_xlpm.primary="")+(_xlpm.primary="NA")+(_xlpm.primary="#N/A"),
    _xlpm.fallback,
    _xlpm.primary
)
)</f>
        <v/>
      </c>
      <c r="C6" s="2" t="e">
        <v>#N/A</v>
      </c>
      <c r="E6" t="e">
        <v>#N/A</v>
      </c>
      <c r="F6" t="e">
        <v>#N/A</v>
      </c>
      <c r="G6" s="18" t="e">
        <v>#N/A</v>
      </c>
    </row>
    <row r="7" spans="1:8" x14ac:dyDescent="0.35">
      <c r="A7" s="18" t="e" cm="1">
        <f t="array" ref="A7">INDEX(Property!A:A, MATCH("Prop Code", Property!A:A, 0) + 1)</f>
        <v>#N/A</v>
      </c>
      <c r="B7" t="str" cm="1">
        <f t="array" ref="B7">_xlfn.LET(
_xlpm.primary, IFERROR(INDEX(Property!B:B, MATCH("Fund Code", Property!B:B, 0) + 1), ""),
_xlpm.fallback, IFERROR(INDEX(Property!A:A, MATCH("Fund", Property!A:A, 0) + 1), ""),
IF(
    (_xlpm.primary=0)+(_xlpm.primary="")+(_xlpm.primary="NA")+(_xlpm.primary="#N/A"),
    _xlpm.fallback,
    _xlpm.primary
)
)</f>
        <v/>
      </c>
      <c r="C7" s="2" t="e">
        <v>#N/A</v>
      </c>
      <c r="E7" t="e">
        <v>#N/A</v>
      </c>
      <c r="F7" t="e">
        <v>#N/A</v>
      </c>
      <c r="G7" s="18" t="e">
        <v>#N/A</v>
      </c>
    </row>
    <row r="8" spans="1:8" x14ac:dyDescent="0.35">
      <c r="A8" s="18" t="e" cm="1">
        <f t="array" ref="A8">INDEX(Property!A:A, MATCH("Prop Code", Property!A:A, 0) + 1)</f>
        <v>#N/A</v>
      </c>
      <c r="B8" t="str" cm="1">
        <f t="array" ref="B8">_xlfn.LET(
_xlpm.primary, IFERROR(INDEX(Property!B:B, MATCH("Fund Code", Property!B:B, 0) + 1), ""),
_xlpm.fallback, IFERROR(INDEX(Property!A:A, MATCH("Fund", Property!A:A, 0) + 1), ""),
IF(
    (_xlpm.primary=0)+(_xlpm.primary="")+(_xlpm.primary="NA")+(_xlpm.primary="#N/A"),
    _xlpm.fallback,
    _xlpm.primary
)
)</f>
        <v/>
      </c>
      <c r="C8" s="2" t="e">
        <v>#N/A</v>
      </c>
      <c r="E8" t="e">
        <v>#N/A</v>
      </c>
      <c r="F8" t="e">
        <v>#N/A</v>
      </c>
      <c r="G8" s="18" t="e">
        <v>#N/A</v>
      </c>
    </row>
    <row r="9" spans="1:8" x14ac:dyDescent="0.35">
      <c r="A9" s="18" t="e" cm="1">
        <f t="array" ref="A9">INDEX(Property!A:A, MATCH("Prop Code", Property!A:A, 0) + 1)</f>
        <v>#N/A</v>
      </c>
      <c r="B9" t="str" cm="1">
        <f t="array" ref="B9">_xlfn.LET(
_xlpm.primary, IFERROR(INDEX(Property!B:B, MATCH("Fund Code", Property!B:B, 0) + 1), ""),
_xlpm.fallback, IFERROR(INDEX(Property!A:A, MATCH("Fund", Property!A:A, 0) + 1), ""),
IF(
    (_xlpm.primary=0)+(_xlpm.primary="")+(_xlpm.primary="NA")+(_xlpm.primary="#N/A"),
    _xlpm.fallback,
    _xlpm.primary
)
)</f>
        <v/>
      </c>
      <c r="C9" s="2" t="e">
        <v>#N/A</v>
      </c>
      <c r="E9" t="e">
        <v>#N/A</v>
      </c>
      <c r="F9" t="e">
        <v>#N/A</v>
      </c>
      <c r="G9" s="18" t="e">
        <v>#N/A</v>
      </c>
    </row>
    <row r="10" spans="1:8" x14ac:dyDescent="0.35">
      <c r="A10" s="18" t="e" cm="1">
        <f t="array" ref="A10">INDEX(Property!A:A, MATCH("Prop Code", Property!A:A, 0) + 1)</f>
        <v>#N/A</v>
      </c>
      <c r="B10" t="str" cm="1">
        <f t="array" ref="B10">_xlfn.LET(
_xlpm.primary, IFERROR(INDEX(Property!B:B, MATCH("Fund Code", Property!B:B, 0) + 1), ""),
_xlpm.fallback, IFERROR(INDEX(Property!A:A, MATCH("Fund", Property!A:A, 0) + 1), ""),
IF(
    (_xlpm.primary=0)+(_xlpm.primary="")+(_xlpm.primary="NA")+(_xlpm.primary="#N/A"),
    _xlpm.fallback,
    _xlpm.primary
)
)</f>
        <v/>
      </c>
      <c r="C10" s="2" t="e">
        <v>#N/A</v>
      </c>
      <c r="E10" t="e">
        <v>#N/A</v>
      </c>
      <c r="F10" t="e">
        <v>#N/A</v>
      </c>
      <c r="G10" s="18" t="e">
        <v>#N/A</v>
      </c>
    </row>
    <row r="11" spans="1:8" x14ac:dyDescent="0.35">
      <c r="A11" s="18" t="e" cm="1">
        <f t="array" ref="A11">INDEX(Property!A:A, MATCH("Prop Code", Property!A:A, 0) + 1)</f>
        <v>#N/A</v>
      </c>
      <c r="B11" t="str" cm="1">
        <f t="array" ref="B11">_xlfn.LET(
_xlpm.primary, IFERROR(INDEX(Property!B:B, MATCH("Fund Code", Property!B:B, 0) + 1), ""),
_xlpm.fallback, IFERROR(INDEX(Property!A:A, MATCH("Fund", Property!A:A, 0) + 1), ""),
IF(
    (_xlpm.primary=0)+(_xlpm.primary="")+(_xlpm.primary="NA")+(_xlpm.primary="#N/A"),
    _xlpm.fallback,
    _xlpm.primary
)
)</f>
        <v/>
      </c>
      <c r="C11" s="2" t="e">
        <v>#N/A</v>
      </c>
      <c r="E11" t="e">
        <v>#N/A</v>
      </c>
      <c r="F11" t="e">
        <v>#N/A</v>
      </c>
      <c r="G11" s="18" t="e">
        <v>#N/A</v>
      </c>
    </row>
    <row r="12" spans="1:8" x14ac:dyDescent="0.35">
      <c r="A12" s="18" t="e" cm="1">
        <f t="array" ref="A12">INDEX(Property!A:A, MATCH("Prop Code", Property!A:A, 0) + 1)</f>
        <v>#N/A</v>
      </c>
      <c r="B12" t="str" cm="1">
        <f t="array" ref="B12">_xlfn.LET(
_xlpm.primary, IFERROR(INDEX(Property!B:B, MATCH("Fund Code", Property!B:B, 0) + 1), ""),
_xlpm.fallback, IFERROR(INDEX(Property!A:A, MATCH("Fund", Property!A:A, 0) + 1), ""),
IF(
    (_xlpm.primary=0)+(_xlpm.primary="")+(_xlpm.primary="NA")+(_xlpm.primary="#N/A"),
    _xlpm.fallback,
    _xlpm.primary
)
)</f>
        <v/>
      </c>
      <c r="C12" s="2" t="e">
        <v>#N/A</v>
      </c>
      <c r="E12" t="e">
        <v>#N/A</v>
      </c>
      <c r="F12" t="e">
        <v>#N/A</v>
      </c>
      <c r="G12" s="18" t="e">
        <v>#N/A</v>
      </c>
    </row>
    <row r="13" spans="1:8" x14ac:dyDescent="0.35">
      <c r="A13" s="18" t="e" cm="1">
        <f t="array" ref="A13">INDEX(Property!A:A, MATCH("Prop Code", Property!A:A, 0) + 1)</f>
        <v>#N/A</v>
      </c>
      <c r="B13" t="str" cm="1">
        <f t="array" ref="B13">_xlfn.LET(
_xlpm.primary, IFERROR(INDEX(Property!B:B, MATCH("Fund Code", Property!B:B, 0) + 1), ""),
_xlpm.fallback, IFERROR(INDEX(Property!A:A, MATCH("Fund", Property!A:A, 0) + 1), ""),
IF(
    (_xlpm.primary=0)+(_xlpm.primary="")+(_xlpm.primary="NA")+(_xlpm.primary="#N/A"),
    _xlpm.fallback,
    _xlpm.primary
)
)</f>
        <v/>
      </c>
      <c r="C13" s="2" t="e">
        <v>#N/A</v>
      </c>
      <c r="E13" t="e">
        <v>#N/A</v>
      </c>
      <c r="F13" t="e">
        <v>#N/A</v>
      </c>
      <c r="G13" s="18" t="e">
        <v>#N/A</v>
      </c>
    </row>
    <row r="14" spans="1:8" x14ac:dyDescent="0.35">
      <c r="A14" s="18" t="e" cm="1">
        <f t="array" ref="A14">INDEX(Property!A:A, MATCH("Prop Code", Property!A:A, 0) + 1)</f>
        <v>#N/A</v>
      </c>
      <c r="B14" t="str" cm="1">
        <f t="array" ref="B14">_xlfn.LET(
_xlpm.primary, IFERROR(INDEX(Property!B:B, MATCH("Fund Code", Property!B:B, 0) + 1), ""),
_xlpm.fallback, IFERROR(INDEX(Property!A:A, MATCH("Fund", Property!A:A, 0) + 1), ""),
IF(
    (_xlpm.primary=0)+(_xlpm.primary="")+(_xlpm.primary="NA")+(_xlpm.primary="#N/A"),
    _xlpm.fallback,
    _xlpm.primary
)
)</f>
        <v/>
      </c>
      <c r="C14" s="2" t="e">
        <v>#N/A</v>
      </c>
      <c r="E14" t="e">
        <v>#N/A</v>
      </c>
      <c r="F14" t="e">
        <v>#N/A</v>
      </c>
      <c r="G14" s="18" t="e">
        <v>#N/A</v>
      </c>
    </row>
    <row r="15" spans="1:8" x14ac:dyDescent="0.35">
      <c r="A15" s="18" t="e" cm="1">
        <f t="array" ref="A15">INDEX(Property!A:A, MATCH("Prop Code", Property!A:A, 0) + 1)</f>
        <v>#N/A</v>
      </c>
      <c r="B15" t="str" cm="1">
        <f t="array" ref="B15">_xlfn.LET(
_xlpm.primary, IFERROR(INDEX(Property!B:B, MATCH("Fund Code", Property!B:B, 0) + 1), ""),
_xlpm.fallback, IFERROR(INDEX(Property!A:A, MATCH("Fund", Property!A:A, 0) + 1), ""),
IF(
    (_xlpm.primary=0)+(_xlpm.primary="")+(_xlpm.primary="NA")+(_xlpm.primary="#N/A"),
    _xlpm.fallback,
    _xlpm.primary
)
)</f>
        <v/>
      </c>
      <c r="C15" s="2" t="e">
        <v>#N/A</v>
      </c>
      <c r="E15" t="e">
        <v>#N/A</v>
      </c>
      <c r="F15" t="e">
        <v>#N/A</v>
      </c>
      <c r="G15" s="18" t="e">
        <v>#N/A</v>
      </c>
    </row>
    <row r="16" spans="1:8" x14ac:dyDescent="0.35">
      <c r="A16" s="18" t="e" cm="1">
        <f t="array" ref="A16">INDEX(Property!A:A, MATCH("Prop Code", Property!A:A, 0) + 1)</f>
        <v>#N/A</v>
      </c>
      <c r="B16" t="str" cm="1">
        <f t="array" ref="B16">_xlfn.LET(
_xlpm.primary, IFERROR(INDEX(Property!B:B, MATCH("Fund Code", Property!B:B, 0) + 1), ""),
_xlpm.fallback, IFERROR(INDEX(Property!A:A, MATCH("Fund", Property!A:A, 0) + 1), ""),
IF(
    (_xlpm.primary=0)+(_xlpm.primary="")+(_xlpm.primary="NA")+(_xlpm.primary="#N/A"),
    _xlpm.fallback,
    _xlpm.primary
)
)</f>
        <v/>
      </c>
      <c r="C16" s="2" t="e">
        <v>#N/A</v>
      </c>
      <c r="E16" t="e">
        <v>#N/A</v>
      </c>
      <c r="F16" t="e">
        <v>#N/A</v>
      </c>
      <c r="G16" s="18" t="e">
        <v>#N/A</v>
      </c>
    </row>
    <row r="17" spans="1:7" x14ac:dyDescent="0.35">
      <c r="A17" s="18" t="e" cm="1">
        <f t="array" ref="A17">INDEX(Property!A:A, MATCH("Prop Code", Property!A:A, 0) + 1)</f>
        <v>#N/A</v>
      </c>
      <c r="B17" t="str" cm="1">
        <f t="array" ref="B17">_xlfn.LET(
_xlpm.primary, IFERROR(INDEX(Property!B:B, MATCH("Fund Code", Property!B:B, 0) + 1), ""),
_xlpm.fallback, IFERROR(INDEX(Property!A:A, MATCH("Fund", Property!A:A, 0) + 1), ""),
IF(
    (_xlpm.primary=0)+(_xlpm.primary="")+(_xlpm.primary="NA")+(_xlpm.primary="#N/A"),
    _xlpm.fallback,
    _xlpm.primary
)
)</f>
        <v/>
      </c>
      <c r="C17" s="2" t="e">
        <v>#N/A</v>
      </c>
      <c r="E17" t="e">
        <v>#N/A</v>
      </c>
      <c r="F17" t="e">
        <v>#N/A</v>
      </c>
      <c r="G17" s="18" t="e">
        <v>#N/A</v>
      </c>
    </row>
    <row r="18" spans="1:7" x14ac:dyDescent="0.35">
      <c r="A18" s="18" t="e" cm="1">
        <f t="array" ref="A18">INDEX(Property!A:A, MATCH("Prop Code", Property!A:A, 0) + 1)</f>
        <v>#N/A</v>
      </c>
      <c r="B18" t="str" cm="1">
        <f t="array" ref="B18">_xlfn.LET(
_xlpm.primary, IFERROR(INDEX(Property!B:B, MATCH("Fund Code", Property!B:B, 0) + 1), ""),
_xlpm.fallback, IFERROR(INDEX(Property!A:A, MATCH("Fund", Property!A:A, 0) + 1), ""),
IF(
    (_xlpm.primary=0)+(_xlpm.primary="")+(_xlpm.primary="NA")+(_xlpm.primary="#N/A"),
    _xlpm.fallback,
    _xlpm.primary
)
)</f>
        <v/>
      </c>
      <c r="C18" s="2" t="e">
        <v>#N/A</v>
      </c>
      <c r="E18" t="e">
        <v>#N/A</v>
      </c>
      <c r="F18" t="e">
        <v>#N/A</v>
      </c>
      <c r="G18" s="18" t="e">
        <v>#N/A</v>
      </c>
    </row>
    <row r="19" spans="1:7" x14ac:dyDescent="0.35">
      <c r="A19" s="18" t="e" cm="1">
        <f t="array" ref="A19">INDEX(Property!A:A, MATCH("Prop Code", Property!A:A, 0) + 1)</f>
        <v>#N/A</v>
      </c>
      <c r="B19" t="str" cm="1">
        <f t="array" ref="B19">_xlfn.LET(
_xlpm.primary, IFERROR(INDEX(Property!B:B, MATCH("Fund Code", Property!B:B, 0) + 1), ""),
_xlpm.fallback, IFERROR(INDEX(Property!A:A, MATCH("Fund", Property!A:A, 0) + 1), ""),
IF(
    (_xlpm.primary=0)+(_xlpm.primary="")+(_xlpm.primary="NA")+(_xlpm.primary="#N/A"),
    _xlpm.fallback,
    _xlpm.primary
)
)</f>
        <v/>
      </c>
      <c r="C19" s="2" t="e">
        <v>#N/A</v>
      </c>
      <c r="E19" t="e">
        <v>#N/A</v>
      </c>
      <c r="F19" t="e">
        <v>#N/A</v>
      </c>
      <c r="G19" s="18" t="e">
        <v>#N/A</v>
      </c>
    </row>
    <row r="20" spans="1:7" x14ac:dyDescent="0.35">
      <c r="A20" s="18" t="e" cm="1">
        <f t="array" ref="A20">INDEX(Property!A:A, MATCH("Prop Code", Property!A:A, 0) + 1)</f>
        <v>#N/A</v>
      </c>
      <c r="B20" t="str" cm="1">
        <f t="array" ref="B20">_xlfn.LET(
_xlpm.primary, IFERROR(INDEX(Property!B:B, MATCH("Fund Code", Property!B:B, 0) + 1), ""),
_xlpm.fallback, IFERROR(INDEX(Property!A:A, MATCH("Fund", Property!A:A, 0) + 1), ""),
IF(
    (_xlpm.primary=0)+(_xlpm.primary="")+(_xlpm.primary="NA")+(_xlpm.primary="#N/A"),
    _xlpm.fallback,
    _xlpm.primary
)
)</f>
        <v/>
      </c>
      <c r="C20" s="2" t="e">
        <v>#N/A</v>
      </c>
      <c r="E20" t="e">
        <v>#N/A</v>
      </c>
      <c r="F20" t="e">
        <v>#N/A</v>
      </c>
      <c r="G20" s="18" t="e">
        <v>#N/A</v>
      </c>
    </row>
    <row r="21" spans="1:7" x14ac:dyDescent="0.35">
      <c r="A21" s="18" t="e" cm="1">
        <f t="array" ref="A21">INDEX(Property!A:A, MATCH("Prop Code", Property!A:A, 0) + 1)</f>
        <v>#N/A</v>
      </c>
      <c r="B21" t="str" cm="1">
        <f t="array" ref="B21">_xlfn.LET(
_xlpm.primary, IFERROR(INDEX(Property!B:B, MATCH("Fund Code", Property!B:B, 0) + 1), ""),
_xlpm.fallback, IFERROR(INDEX(Property!A:A, MATCH("Fund", Property!A:A, 0) + 1), ""),
IF(
    (_xlpm.primary=0)+(_xlpm.primary="")+(_xlpm.primary="NA")+(_xlpm.primary="#N/A"),
    _xlpm.fallback,
    _xlpm.primary
)
)</f>
        <v/>
      </c>
      <c r="C21" s="2" t="e">
        <v>#N/A</v>
      </c>
      <c r="E21" t="e">
        <v>#N/A</v>
      </c>
      <c r="F21" t="e">
        <v>#N/A</v>
      </c>
      <c r="G21" s="18" t="e">
        <v>#N/A</v>
      </c>
    </row>
    <row r="22" spans="1:7" x14ac:dyDescent="0.35">
      <c r="A22" s="18" t="e" cm="1">
        <f t="array" ref="A22">INDEX(Property!A:A, MATCH("Prop Code", Property!A:A, 0) + 1)</f>
        <v>#N/A</v>
      </c>
      <c r="B22" t="str" cm="1">
        <f t="array" ref="B22">_xlfn.LET(
_xlpm.primary, IFERROR(INDEX(Property!B:B, MATCH("Fund Code", Property!B:B, 0) + 1), ""),
_xlpm.fallback, IFERROR(INDEX(Property!A:A, MATCH("Fund", Property!A:A, 0) + 1), ""),
IF(
    (_xlpm.primary=0)+(_xlpm.primary="")+(_xlpm.primary="NA")+(_xlpm.primary="#N/A"),
    _xlpm.fallback,
    _xlpm.primary
)
)</f>
        <v/>
      </c>
      <c r="C22" s="2" t="e">
        <v>#N/A</v>
      </c>
      <c r="E22" t="e">
        <v>#N/A</v>
      </c>
      <c r="F22" t="e">
        <v>#N/A</v>
      </c>
      <c r="G22" s="18" t="e">
        <v>#N/A</v>
      </c>
    </row>
    <row r="23" spans="1:7" x14ac:dyDescent="0.35">
      <c r="A23" s="18" t="e" cm="1">
        <f t="array" ref="A23">INDEX(Property!A:A, MATCH("Prop Code", Property!A:A, 0) + 1)</f>
        <v>#N/A</v>
      </c>
      <c r="B23" t="str" cm="1">
        <f t="array" ref="B23">_xlfn.LET(
_xlpm.primary, IFERROR(INDEX(Property!B:B, MATCH("Fund Code", Property!B:B, 0) + 1), ""),
_xlpm.fallback, IFERROR(INDEX(Property!A:A, MATCH("Fund", Property!A:A, 0) + 1), ""),
IF(
    (_xlpm.primary=0)+(_xlpm.primary="")+(_xlpm.primary="NA")+(_xlpm.primary="#N/A"),
    _xlpm.fallback,
    _xlpm.primary
)
)</f>
        <v/>
      </c>
      <c r="C23" s="2" t="e">
        <v>#N/A</v>
      </c>
      <c r="E23" t="e">
        <v>#N/A</v>
      </c>
      <c r="F23" t="e">
        <v>#N/A</v>
      </c>
      <c r="G23" s="18" t="e">
        <v>#N/A</v>
      </c>
    </row>
    <row r="24" spans="1:7" x14ac:dyDescent="0.35">
      <c r="A24" s="18" t="e" cm="1">
        <f t="array" ref="A24">INDEX(Property!A:A, MATCH("Prop Code", Property!A:A, 0) + 1)</f>
        <v>#N/A</v>
      </c>
      <c r="B24" t="str" cm="1">
        <f t="array" ref="B24">_xlfn.LET(
_xlpm.primary, IFERROR(INDEX(Property!B:B, MATCH("Fund Code", Property!B:B, 0) + 1), ""),
_xlpm.fallback, IFERROR(INDEX(Property!A:A, MATCH("Fund", Property!A:A, 0) + 1), ""),
IF(
    (_xlpm.primary=0)+(_xlpm.primary="")+(_xlpm.primary="NA")+(_xlpm.primary="#N/A"),
    _xlpm.fallback,
    _xlpm.primary
)
)</f>
        <v/>
      </c>
      <c r="C24" s="2" t="e">
        <v>#N/A</v>
      </c>
      <c r="E24" t="e">
        <v>#N/A</v>
      </c>
      <c r="F24" t="e">
        <v>#N/A</v>
      </c>
      <c r="G24" s="18" t="e">
        <v>#N/A</v>
      </c>
    </row>
    <row r="25" spans="1:7" x14ac:dyDescent="0.35">
      <c r="A25" s="18" t="e" cm="1">
        <f t="array" ref="A25">INDEX(Property!A:A, MATCH("Prop Code", Property!A:A, 0) + 1)</f>
        <v>#N/A</v>
      </c>
      <c r="B25" t="str" cm="1">
        <f t="array" ref="B25">_xlfn.LET(
_xlpm.primary, IFERROR(INDEX(Property!B:B, MATCH("Fund Code", Property!B:B, 0) + 1), ""),
_xlpm.fallback, IFERROR(INDEX(Property!A:A, MATCH("Fund", Property!A:A, 0) + 1), ""),
IF(
    (_xlpm.primary=0)+(_xlpm.primary="")+(_xlpm.primary="NA")+(_xlpm.primary="#N/A"),
    _xlpm.fallback,
    _xlpm.primary
)
)</f>
        <v/>
      </c>
      <c r="C25" s="2" t="e">
        <v>#N/A</v>
      </c>
      <c r="E25" t="e">
        <v>#N/A</v>
      </c>
      <c r="F25" t="e">
        <v>#N/A</v>
      </c>
      <c r="G25" s="18" t="e">
        <v>#N/A</v>
      </c>
    </row>
    <row r="26" spans="1:7" x14ac:dyDescent="0.35">
      <c r="A26" s="18" t="e" cm="1">
        <f t="array" ref="A26">INDEX(Property!A:A, MATCH("Prop Code", Property!A:A, 0) + 1)</f>
        <v>#N/A</v>
      </c>
      <c r="B26" t="str" cm="1">
        <f t="array" ref="B26">_xlfn.LET(
_xlpm.primary, IFERROR(INDEX(Property!B:B, MATCH("Fund Code", Property!B:B, 0) + 1), ""),
_xlpm.fallback, IFERROR(INDEX(Property!A:A, MATCH("Fund", Property!A:A, 0) + 1), ""),
IF(
    (_xlpm.primary=0)+(_xlpm.primary="")+(_xlpm.primary="NA")+(_xlpm.primary="#N/A"),
    _xlpm.fallback,
    _xlpm.primary
)
)</f>
        <v/>
      </c>
      <c r="C26" s="2" t="e">
        <v>#N/A</v>
      </c>
      <c r="E26" t="e">
        <v>#N/A</v>
      </c>
      <c r="F26" t="e">
        <v>#N/A</v>
      </c>
      <c r="G26" s="18" t="e">
        <v>#N/A</v>
      </c>
    </row>
    <row r="27" spans="1:7" x14ac:dyDescent="0.35">
      <c r="A27" s="18" t="e" cm="1">
        <f t="array" ref="A27">INDEX(Property!A:A, MATCH("Prop Code", Property!A:A, 0) + 1)</f>
        <v>#N/A</v>
      </c>
      <c r="B27" t="str" cm="1">
        <f t="array" ref="B27">_xlfn.LET(
_xlpm.primary, IFERROR(INDEX(Property!B:B, MATCH("Fund Code", Property!B:B, 0) + 1), ""),
_xlpm.fallback, IFERROR(INDEX(Property!A:A, MATCH("Fund", Property!A:A, 0) + 1), ""),
IF(
    (_xlpm.primary=0)+(_xlpm.primary="")+(_xlpm.primary="NA")+(_xlpm.primary="#N/A"),
    _xlpm.fallback,
    _xlpm.primary
)
)</f>
        <v/>
      </c>
      <c r="C27" s="2" t="e">
        <v>#N/A</v>
      </c>
      <c r="E27" t="e">
        <v>#N/A</v>
      </c>
      <c r="F27" t="e">
        <v>#N/A</v>
      </c>
      <c r="G27" s="18" t="e">
        <v>#N/A</v>
      </c>
    </row>
    <row r="28" spans="1:7" x14ac:dyDescent="0.35">
      <c r="A28" s="18" t="e" cm="1">
        <f t="array" ref="A28">INDEX(Property!A:A, MATCH("Prop Code", Property!A:A, 0) + 1)</f>
        <v>#N/A</v>
      </c>
      <c r="B28" t="str" cm="1">
        <f t="array" ref="B28">_xlfn.LET(
_xlpm.primary, IFERROR(INDEX(Property!B:B, MATCH("Fund Code", Property!B:B, 0) + 1), ""),
_xlpm.fallback, IFERROR(INDEX(Property!A:A, MATCH("Fund", Property!A:A, 0) + 1), ""),
IF(
    (_xlpm.primary=0)+(_xlpm.primary="")+(_xlpm.primary="NA")+(_xlpm.primary="#N/A"),
    _xlpm.fallback,
    _xlpm.primary
)
)</f>
        <v/>
      </c>
      <c r="C28" s="2" t="e">
        <v>#N/A</v>
      </c>
      <c r="E28" t="e">
        <v>#N/A</v>
      </c>
      <c r="F28" t="e">
        <v>#N/A</v>
      </c>
      <c r="G28" s="18" t="e">
        <v>#N/A</v>
      </c>
    </row>
    <row r="29" spans="1:7" x14ac:dyDescent="0.35">
      <c r="A29" s="18" t="e" cm="1">
        <f t="array" ref="A29">INDEX(Property!A:A, MATCH("Prop Code", Property!A:A, 0) + 1)</f>
        <v>#N/A</v>
      </c>
      <c r="B29" t="str" cm="1">
        <f t="array" ref="B29">_xlfn.LET(
_xlpm.primary, IFERROR(INDEX(Property!B:B, MATCH("Fund Code", Property!B:B, 0) + 1), ""),
_xlpm.fallback, IFERROR(INDEX(Property!A:A, MATCH("Fund", Property!A:A, 0) + 1), ""),
IF(
    (_xlpm.primary=0)+(_xlpm.primary="")+(_xlpm.primary="NA")+(_xlpm.primary="#N/A"),
    _xlpm.fallback,
    _xlpm.primary
)
)</f>
        <v/>
      </c>
      <c r="C29" s="2" t="e">
        <v>#N/A</v>
      </c>
      <c r="E29" t="e">
        <v>#N/A</v>
      </c>
      <c r="F29" t="e">
        <v>#N/A</v>
      </c>
      <c r="G29" s="18" t="e">
        <v>#N/A</v>
      </c>
    </row>
    <row r="30" spans="1:7" x14ac:dyDescent="0.35">
      <c r="A30" s="18" t="e" cm="1">
        <f t="array" ref="A30">INDEX(Property!A:A, MATCH("Prop Code", Property!A:A, 0) + 1)</f>
        <v>#N/A</v>
      </c>
      <c r="B30" t="str" cm="1">
        <f t="array" ref="B30">_xlfn.LET(
_xlpm.primary, IFERROR(INDEX(Property!B:B, MATCH("Fund Code", Property!B:B, 0) + 1), ""),
_xlpm.fallback, IFERROR(INDEX(Property!A:A, MATCH("Fund", Property!A:A, 0) + 1), ""),
IF(
    (_xlpm.primary=0)+(_xlpm.primary="")+(_xlpm.primary="NA")+(_xlpm.primary="#N/A"),
    _xlpm.fallback,
    _xlpm.primary
)
)</f>
        <v/>
      </c>
      <c r="C30" s="2" t="e">
        <v>#N/A</v>
      </c>
      <c r="E30" t="e">
        <v>#N/A</v>
      </c>
      <c r="F30" t="e">
        <v>#N/A</v>
      </c>
      <c r="G30" s="18" t="e">
        <v>#N/A</v>
      </c>
    </row>
    <row r="31" spans="1:7" x14ac:dyDescent="0.35">
      <c r="A31" s="18" t="e" cm="1">
        <f t="array" ref="A31">INDEX(Property!A:A, MATCH("Prop Code", Property!A:A, 0) + 1)</f>
        <v>#N/A</v>
      </c>
      <c r="B31" t="str" cm="1">
        <f t="array" ref="B31">_xlfn.LET(
_xlpm.primary, IFERROR(INDEX(Property!B:B, MATCH("Fund Code", Property!B:B, 0) + 1), ""),
_xlpm.fallback, IFERROR(INDEX(Property!A:A, MATCH("Fund", Property!A:A, 0) + 1), ""),
IF(
    (_xlpm.primary=0)+(_xlpm.primary="")+(_xlpm.primary="NA")+(_xlpm.primary="#N/A"),
    _xlpm.fallback,
    _xlpm.primary
)
)</f>
        <v/>
      </c>
      <c r="C31" s="2" t="e">
        <v>#N/A</v>
      </c>
      <c r="E31" t="e">
        <v>#N/A</v>
      </c>
      <c r="F31" t="e">
        <v>#N/A</v>
      </c>
      <c r="G31" s="18" t="e">
        <v>#N/A</v>
      </c>
    </row>
    <row r="32" spans="1:7" x14ac:dyDescent="0.35">
      <c r="A32" s="18" t="e" cm="1">
        <f t="array" ref="A32">INDEX(Property!A:A, MATCH("Prop Code", Property!A:A, 0) + 1)</f>
        <v>#N/A</v>
      </c>
      <c r="B32" t="str" cm="1">
        <f t="array" ref="B32">_xlfn.LET(
_xlpm.primary, IFERROR(INDEX(Property!B:B, MATCH("Fund Code", Property!B:B, 0) + 1), ""),
_xlpm.fallback, IFERROR(INDEX(Property!A:A, MATCH("Fund", Property!A:A, 0) + 1), ""),
IF(
    (_xlpm.primary=0)+(_xlpm.primary="")+(_xlpm.primary="NA")+(_xlpm.primary="#N/A"),
    _xlpm.fallback,
    _xlpm.primary
)
)</f>
        <v/>
      </c>
      <c r="C32" s="2" t="e">
        <v>#N/A</v>
      </c>
      <c r="E32" t="e">
        <v>#N/A</v>
      </c>
      <c r="F32" t="e">
        <v>#N/A</v>
      </c>
      <c r="G32" s="18" t="e">
        <v>#N/A</v>
      </c>
    </row>
    <row r="33" spans="1:7" x14ac:dyDescent="0.35">
      <c r="A33" s="18" t="e" cm="1">
        <f t="array" ref="A33">INDEX(Property!A:A, MATCH("Prop Code", Property!A:A, 0) + 1)</f>
        <v>#N/A</v>
      </c>
      <c r="B33" t="str" cm="1">
        <f t="array" ref="B33">_xlfn.LET(
_xlpm.primary, IFERROR(INDEX(Property!B:B, MATCH("Fund Code", Property!B:B, 0) + 1), ""),
_xlpm.fallback, IFERROR(INDEX(Property!A:A, MATCH("Fund", Property!A:A, 0) + 1), ""),
IF(
    (_xlpm.primary=0)+(_xlpm.primary="")+(_xlpm.primary="NA")+(_xlpm.primary="#N/A"),
    _xlpm.fallback,
    _xlpm.primary
)
)</f>
        <v/>
      </c>
      <c r="C33" s="2" t="e">
        <v>#N/A</v>
      </c>
      <c r="E33" t="e">
        <v>#N/A</v>
      </c>
      <c r="F33" t="e">
        <v>#N/A</v>
      </c>
      <c r="G33" s="18" t="e">
        <v>#N/A</v>
      </c>
    </row>
    <row r="34" spans="1:7" x14ac:dyDescent="0.35">
      <c r="A34" s="18" t="e" cm="1">
        <f t="array" ref="A34">INDEX(Property!A:A, MATCH("Prop Code", Property!A:A, 0) + 1)</f>
        <v>#N/A</v>
      </c>
      <c r="B34" t="str" cm="1">
        <f t="array" ref="B34">_xlfn.LET(
_xlpm.primary, IFERROR(INDEX(Property!B:B, MATCH("Fund Code", Property!B:B, 0) + 1), ""),
_xlpm.fallback, IFERROR(INDEX(Property!A:A, MATCH("Fund", Property!A:A, 0) + 1), ""),
IF(
    (_xlpm.primary=0)+(_xlpm.primary="")+(_xlpm.primary="NA")+(_xlpm.primary="#N/A"),
    _xlpm.fallback,
    _xlpm.primary
)
)</f>
        <v/>
      </c>
      <c r="C34" s="2" t="e">
        <v>#N/A</v>
      </c>
      <c r="E34" t="e">
        <v>#N/A</v>
      </c>
      <c r="F34" t="e">
        <v>#N/A</v>
      </c>
      <c r="G34" s="18" t="e">
        <v>#N/A</v>
      </c>
    </row>
  </sheetData>
  <mergeCells count="1">
    <mergeCell ref="A1:G1"/>
  </mergeCells>
  <conditionalFormatting sqref="A3:G34">
    <cfRule type="expression" dxfId="6" priority="1">
      <formula>OR(ISNA($E3), $E3="NA", $E3="#N/A",$E3=0,ISNA($C3), $C3="NA", $C3="#N/A",$C3&gt;TODAY())</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B8929-2D56-479C-AAA2-DDF633A4AF39}">
  <dimension ref="A1:D3"/>
  <sheetViews>
    <sheetView zoomScale="85" zoomScaleNormal="85" workbookViewId="0">
      <selection activeCell="K19" sqref="K19"/>
    </sheetView>
  </sheetViews>
  <sheetFormatPr defaultRowHeight="14.5" x14ac:dyDescent="0.35"/>
  <cols>
    <col min="1" max="1" width="20.36328125" customWidth="1"/>
    <col min="2" max="2" width="9.90625" bestFit="1" customWidth="1"/>
    <col min="4" max="4" width="21.1796875" customWidth="1"/>
  </cols>
  <sheetData>
    <row r="1" spans="1:4" ht="56" customHeight="1" x14ac:dyDescent="0.35">
      <c r="A1" s="84" t="s">
        <v>114</v>
      </c>
      <c r="B1" s="85"/>
      <c r="C1" s="86"/>
      <c r="D1" s="57" t="s">
        <v>67</v>
      </c>
    </row>
    <row r="2" spans="1:4" x14ac:dyDescent="0.35">
      <c r="A2" s="62" t="s">
        <v>13</v>
      </c>
      <c r="B2" s="62" t="s">
        <v>27</v>
      </c>
      <c r="C2" s="62" t="s">
        <v>28</v>
      </c>
      <c r="D2" s="1"/>
    </row>
    <row r="3" spans="1:4" x14ac:dyDescent="0.35">
      <c r="A3" t="e" cm="1" vm="1">
        <f t="array" ref="A3">IFERROR( _xlfn._xlws.FILTER(Property!G:I, ISNUMBER(MATCH(Property!H:H, {"Total Units"},0))), _xlfn._xlws.FILTER(Property!I:K, ISNUMBER(MATCH(Property!J:J, {"Total Units"},0))) )</f>
        <v>#VALUE!</v>
      </c>
      <c r="C3" s="18"/>
    </row>
  </sheetData>
  <mergeCells count="1">
    <mergeCell ref="A1:C1"/>
  </mergeCells>
  <conditionalFormatting sqref="A3:C3">
    <cfRule type="expression" dxfId="5" priority="1">
      <formula>OR(     $C3=0,     ISNA($C3),     $C3="NA",     $C3="N/A",     $C3="",     $C3="NULL" )</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D6254-3880-4B86-A44D-B7D75BDE9BF0}">
  <dimension ref="A1:H12"/>
  <sheetViews>
    <sheetView zoomScale="85" zoomScaleNormal="85" workbookViewId="0">
      <selection activeCell="I19" sqref="I19"/>
    </sheetView>
  </sheetViews>
  <sheetFormatPr defaultRowHeight="14.5" x14ac:dyDescent="0.35"/>
  <cols>
    <col min="1" max="1" width="18.08984375" customWidth="1"/>
    <col min="2" max="2" width="44.36328125" customWidth="1"/>
    <col min="3" max="3" width="13.7265625" customWidth="1"/>
    <col min="4" max="4" width="19.1796875" customWidth="1"/>
    <col min="5" max="5" width="14.26953125" customWidth="1"/>
    <col min="6" max="6" width="12.54296875" customWidth="1"/>
    <col min="7" max="7" width="10.26953125" customWidth="1"/>
    <col min="8" max="8" width="32.36328125" customWidth="1"/>
  </cols>
  <sheetData>
    <row r="1" spans="1:8" ht="94.5" customHeight="1" x14ac:dyDescent="0.35">
      <c r="A1" s="73" t="s">
        <v>115</v>
      </c>
      <c r="B1" s="74"/>
      <c r="C1" s="74"/>
      <c r="D1" s="74"/>
      <c r="E1" s="74"/>
      <c r="F1" s="74"/>
      <c r="G1" s="75"/>
      <c r="H1" s="57" t="s">
        <v>67</v>
      </c>
    </row>
    <row r="2" spans="1:8" x14ac:dyDescent="0.35">
      <c r="A2" s="62" t="s">
        <v>13</v>
      </c>
      <c r="B2" s="62" t="s">
        <v>29</v>
      </c>
      <c r="C2" s="62" t="s">
        <v>30</v>
      </c>
      <c r="D2" s="62" t="s">
        <v>31</v>
      </c>
      <c r="E2" s="62" t="s">
        <v>32</v>
      </c>
      <c r="F2" s="67" t="s">
        <v>33</v>
      </c>
      <c r="G2" s="62" t="s">
        <v>34</v>
      </c>
    </row>
    <row r="3" spans="1:8" x14ac:dyDescent="0.35">
      <c r="A3" t="e" cm="1">
        <f t="array" ref="A3:G12">INDEX(Property!G:M, MATCH("Lender", Property!H:H, 0) + _xlfn.SEQUENCE(10), _xlfn.SEQUENCE(1,7))</f>
        <v>#N/A</v>
      </c>
      <c r="B3" t="e">
        <v>#N/A</v>
      </c>
      <c r="C3" t="e">
        <v>#N/A</v>
      </c>
      <c r="D3" t="e">
        <v>#N/A</v>
      </c>
      <c r="E3" t="e">
        <v>#N/A</v>
      </c>
      <c r="F3" t="e">
        <v>#N/A</v>
      </c>
      <c r="G3" s="18" t="e">
        <v>#N/A</v>
      </c>
    </row>
    <row r="4" spans="1:8" x14ac:dyDescent="0.35">
      <c r="A4" t="e">
        <v>#N/A</v>
      </c>
      <c r="B4" t="e">
        <v>#N/A</v>
      </c>
      <c r="C4" t="e">
        <v>#N/A</v>
      </c>
      <c r="D4" t="e">
        <v>#N/A</v>
      </c>
      <c r="E4" t="e">
        <v>#N/A</v>
      </c>
      <c r="F4" t="e">
        <v>#N/A</v>
      </c>
      <c r="G4" s="18" t="e">
        <v>#N/A</v>
      </c>
    </row>
    <row r="5" spans="1:8" x14ac:dyDescent="0.35">
      <c r="A5" t="e">
        <v>#N/A</v>
      </c>
      <c r="B5" t="e">
        <v>#N/A</v>
      </c>
      <c r="C5" t="e">
        <v>#N/A</v>
      </c>
      <c r="D5" t="e">
        <v>#N/A</v>
      </c>
      <c r="E5" t="e">
        <v>#N/A</v>
      </c>
      <c r="F5" t="e">
        <v>#N/A</v>
      </c>
      <c r="G5" s="18" t="e">
        <v>#N/A</v>
      </c>
    </row>
    <row r="6" spans="1:8" x14ac:dyDescent="0.35">
      <c r="A6" t="e">
        <v>#N/A</v>
      </c>
      <c r="B6" t="e">
        <v>#N/A</v>
      </c>
      <c r="C6" t="e">
        <v>#N/A</v>
      </c>
      <c r="D6" t="e">
        <v>#N/A</v>
      </c>
      <c r="E6" t="e">
        <v>#N/A</v>
      </c>
      <c r="F6" t="e">
        <v>#N/A</v>
      </c>
      <c r="G6" s="18" t="e">
        <v>#N/A</v>
      </c>
    </row>
    <row r="7" spans="1:8" x14ac:dyDescent="0.35">
      <c r="A7" t="e">
        <v>#N/A</v>
      </c>
      <c r="B7" t="e">
        <v>#N/A</v>
      </c>
      <c r="C7" t="e">
        <v>#N/A</v>
      </c>
      <c r="D7" t="e">
        <v>#N/A</v>
      </c>
      <c r="E7" t="e">
        <v>#N/A</v>
      </c>
      <c r="F7" t="e">
        <v>#N/A</v>
      </c>
      <c r="G7" s="18" t="e">
        <v>#N/A</v>
      </c>
    </row>
    <row r="8" spans="1:8" x14ac:dyDescent="0.35">
      <c r="A8" t="e">
        <v>#N/A</v>
      </c>
      <c r="B8" t="e">
        <v>#N/A</v>
      </c>
      <c r="C8" t="e">
        <v>#N/A</v>
      </c>
      <c r="D8" t="e">
        <v>#N/A</v>
      </c>
      <c r="E8" t="e">
        <v>#N/A</v>
      </c>
      <c r="F8" t="e">
        <v>#N/A</v>
      </c>
      <c r="G8" s="18" t="e">
        <v>#N/A</v>
      </c>
    </row>
    <row r="9" spans="1:8" x14ac:dyDescent="0.35">
      <c r="A9" t="e">
        <v>#N/A</v>
      </c>
      <c r="B9" t="e">
        <v>#N/A</v>
      </c>
      <c r="C9" t="e">
        <v>#N/A</v>
      </c>
      <c r="D9" t="e">
        <v>#N/A</v>
      </c>
      <c r="E9" t="e">
        <v>#N/A</v>
      </c>
      <c r="F9" t="e">
        <v>#N/A</v>
      </c>
      <c r="G9" s="18" t="e">
        <v>#N/A</v>
      </c>
    </row>
    <row r="10" spans="1:8" x14ac:dyDescent="0.35">
      <c r="A10" t="e">
        <v>#N/A</v>
      </c>
      <c r="B10" t="e">
        <v>#N/A</v>
      </c>
      <c r="C10" t="e">
        <v>#N/A</v>
      </c>
      <c r="D10" t="e">
        <v>#N/A</v>
      </c>
      <c r="E10" t="e">
        <v>#N/A</v>
      </c>
      <c r="F10" t="e">
        <v>#N/A</v>
      </c>
      <c r="G10" s="18" t="e">
        <v>#N/A</v>
      </c>
    </row>
    <row r="11" spans="1:8" x14ac:dyDescent="0.35">
      <c r="A11" t="e">
        <v>#N/A</v>
      </c>
      <c r="B11" t="e">
        <v>#N/A</v>
      </c>
      <c r="C11" t="e">
        <v>#N/A</v>
      </c>
      <c r="D11" t="e">
        <v>#N/A</v>
      </c>
      <c r="E11" t="e">
        <v>#N/A</v>
      </c>
      <c r="F11" t="e">
        <v>#N/A</v>
      </c>
      <c r="G11" s="18" t="e">
        <v>#N/A</v>
      </c>
    </row>
    <row r="12" spans="1:8" x14ac:dyDescent="0.35">
      <c r="A12" t="e">
        <v>#N/A</v>
      </c>
      <c r="B12" t="e">
        <v>#N/A</v>
      </c>
      <c r="C12" t="e">
        <v>#N/A</v>
      </c>
      <c r="D12" t="e">
        <v>#N/A</v>
      </c>
      <c r="E12" t="e">
        <v>#N/A</v>
      </c>
      <c r="F12" t="e">
        <v>#N/A</v>
      </c>
      <c r="G12" s="18" t="e">
        <v>#N/A</v>
      </c>
    </row>
  </sheetData>
  <mergeCells count="1">
    <mergeCell ref="A1:G1"/>
  </mergeCells>
  <conditionalFormatting sqref="A3:G12">
    <cfRule type="expression" dxfId="4" priority="1">
      <formula>ISERROR($B3)</formula>
    </cfRule>
    <cfRule type="expression" dxfId="3" priority="2">
      <formula>OR($B3=0, $B3="", ISNA($B3), $B3="NA", $B3="N/A")</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31E18-092B-4D09-967C-6F9EC8D628F2}">
  <dimension ref="A1:F5"/>
  <sheetViews>
    <sheetView zoomScale="85" zoomScaleNormal="85" workbookViewId="0">
      <selection activeCell="B14" sqref="B14"/>
    </sheetView>
  </sheetViews>
  <sheetFormatPr defaultRowHeight="14.5" x14ac:dyDescent="0.35"/>
  <cols>
    <col min="1" max="1" width="42.08984375" customWidth="1"/>
    <col min="2" max="2" width="50" bestFit="1" customWidth="1"/>
    <col min="3" max="4" width="24" customWidth="1"/>
    <col min="5" max="5" width="13" style="2" customWidth="1"/>
    <col min="6" max="6" width="20.36328125" customWidth="1"/>
  </cols>
  <sheetData>
    <row r="1" spans="1:6" ht="74" customHeight="1" x14ac:dyDescent="0.35">
      <c r="A1" s="73" t="s">
        <v>125</v>
      </c>
      <c r="B1" s="74"/>
      <c r="C1" s="74"/>
      <c r="D1" s="74"/>
      <c r="E1" s="75"/>
      <c r="F1" s="57" t="s">
        <v>67</v>
      </c>
    </row>
    <row r="2" spans="1:6" x14ac:dyDescent="0.35">
      <c r="A2" s="62" t="s">
        <v>13</v>
      </c>
      <c r="B2" s="62" t="s">
        <v>35</v>
      </c>
      <c r="C2" s="67" t="s">
        <v>25</v>
      </c>
      <c r="D2" s="67" t="s">
        <v>36</v>
      </c>
      <c r="E2" s="68" t="s">
        <v>37</v>
      </c>
    </row>
    <row r="3" spans="1:6" x14ac:dyDescent="0.35">
      <c r="A3" t="e" cm="1" vm="1">
        <f t="array" ref="A3">_xlfn._xlws.FILTER( Property!A:D, ISNUMBER(MATCH(Property!C:C,{"Sponsor","Property Manager","General Contractor"},0)))</f>
        <v>#VALUE!</v>
      </c>
      <c r="E3" s="33" cm="1">
        <f t="array" aca="1" ref="E3" ca="1">_xlfn.LET(
_xlpm.d, IFERROR(INDEX(Property!E:E, MATCH("Start Date", Property!E:E, 0) + 1), ""),
_xlpm.c, IFERROR(INDEX(Property!D:D, MATCH("Closing Date", Property!D:D, 0) + 1), ""),
IF(
    OR(_xlpm.d="", _xlpm.d=0, _xlpm.d="NA", ISNA(_xlpm.d), _xlpm.d=DATE(1900,1,0)),
    IF(OR(_xlpm.c="", _xlpm.c=0, _xlpm.c="NA", ISNA(_xlpm.c), _xlpm.c=DATE(1900,1,0)), TODAY(), _xlpm.c),
    _xlpm.d
)
)</f>
        <v>46232</v>
      </c>
    </row>
    <row r="4" spans="1:6" x14ac:dyDescent="0.35">
      <c r="E4" s="33" cm="1">
        <f t="array" aca="1" ref="E4" ca="1">_xlfn.LET(
_xlpm.d, IFERROR(INDEX(Property!E:E, MATCH("Start Date", Property!E:E, 0) + 1), ""),
_xlpm.c, IFERROR(INDEX(Property!D:D, MATCH("Closing Date", Property!D:D, 0) + 1), ""),
IF(
    OR(_xlpm.d="", _xlpm.d=0, _xlpm.d="NA", ISNA(_xlpm.d), _xlpm.d=DATE(1900,1,0)),
    IF(OR(_xlpm.c="", _xlpm.c=0, _xlpm.c="NA", ISNA(_xlpm.c), _xlpm.c=DATE(1900,1,0)), TODAY(), _xlpm.c),
    _xlpm.d
)
)</f>
        <v>46232</v>
      </c>
    </row>
    <row r="5" spans="1:6" x14ac:dyDescent="0.35">
      <c r="E5" s="33" cm="1">
        <f t="array" aca="1" ref="E5" ca="1">_xlfn.LET(
_xlpm.d, IFERROR(INDEX(Property!E:E, MATCH("Start Date", Property!E:E, 0) + 1), ""),
_xlpm.c, IFERROR(INDEX(Property!D:D, MATCH("Closing Date", Property!D:D, 0) + 1), ""),
IF(
    OR(_xlpm.d="", _xlpm.d=0, _xlpm.d="NA", ISNA(_xlpm.d), _xlpm.d=DATE(1900,1,0)),
    IF(OR(_xlpm.c="", _xlpm.c=0, _xlpm.c="NA", ISNA(_xlpm.c), _xlpm.c=DATE(1900,1,0)), TODAY(), _xlpm.c),
    _xlpm.d
)
)</f>
        <v>46232</v>
      </c>
    </row>
  </sheetData>
  <mergeCells count="1">
    <mergeCell ref="A1:E1"/>
  </mergeCells>
  <conditionalFormatting sqref="A3:E5">
    <cfRule type="expression" dxfId="2" priority="1">
      <formula>OR($B3=0, $B3="", ISNA($B3), $B3="NA")</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48205-86CD-4526-A944-95869836F683}">
  <dimension ref="A1:J16"/>
  <sheetViews>
    <sheetView tabSelected="1" zoomScale="85" zoomScaleNormal="85" workbookViewId="0">
      <selection activeCell="J10" sqref="J10"/>
    </sheetView>
  </sheetViews>
  <sheetFormatPr defaultRowHeight="14.5" x14ac:dyDescent="0.35"/>
  <cols>
    <col min="1" max="1" width="35.26953125" customWidth="1"/>
    <col min="2" max="2" width="55.26953125" customWidth="1"/>
    <col min="3" max="3" width="16.1796875" customWidth="1"/>
    <col min="4" max="4" width="19.81640625" style="2" customWidth="1"/>
    <col min="5" max="5" width="16.36328125" style="2" customWidth="1"/>
    <col min="6" max="6" width="26.81640625" bestFit="1" customWidth="1"/>
    <col min="7" max="7" width="16.26953125" bestFit="1" customWidth="1"/>
    <col min="8" max="8" width="18.54296875" customWidth="1"/>
    <col min="9" max="9" width="20.26953125" style="2" customWidth="1"/>
    <col min="10" max="10" width="43.7265625" customWidth="1"/>
  </cols>
  <sheetData>
    <row r="1" spans="1:10" ht="222.5" customHeight="1" x14ac:dyDescent="0.35">
      <c r="A1" s="73" t="s">
        <v>116</v>
      </c>
      <c r="B1" s="74"/>
      <c r="C1" s="74"/>
      <c r="D1" s="74"/>
      <c r="E1" s="74"/>
      <c r="F1" s="74"/>
      <c r="G1" s="74"/>
      <c r="H1" s="74"/>
      <c r="I1" s="75"/>
      <c r="J1" s="58" t="s">
        <v>67</v>
      </c>
    </row>
    <row r="2" spans="1:10" x14ac:dyDescent="0.35">
      <c r="A2" s="62" t="s">
        <v>13</v>
      </c>
      <c r="B2" s="71" t="s">
        <v>52</v>
      </c>
      <c r="C2" s="20" t="s">
        <v>59</v>
      </c>
      <c r="D2" s="70" t="s">
        <v>53</v>
      </c>
      <c r="E2" s="69" t="s">
        <v>54</v>
      </c>
      <c r="F2" s="67" t="s">
        <v>55</v>
      </c>
      <c r="G2" s="67" t="s">
        <v>56</v>
      </c>
      <c r="H2" s="67" t="s">
        <v>57</v>
      </c>
      <c r="I2" s="68" t="s">
        <v>58</v>
      </c>
    </row>
    <row r="3" spans="1:10" x14ac:dyDescent="0.35">
      <c r="A3" t="e" cm="1">
        <f t="array" ref="A3:A9">INDEX(Property!G:G, MATCH("Fund Code", Property!H:H, 0) + _xlfn.SEQUENCE(7))</f>
        <v>#N/A</v>
      </c>
      <c r="B3" t="e" cm="1">
        <f t="array" ref="B3:B8">C3:C8</f>
        <v>#N/A</v>
      </c>
      <c r="C3" s="72" t="e" cm="1">
        <f t="array" ref="C3:C9">IFERROR(INDEX(Property!I:I, MATCH("Legal Entity", Property!I:I, 0) + _xlfn.SEQUENCE(7)),INDEX(Property!H:H, MATCH("Fund Code", Property!H:H, 0) + _xlfn.SEQUENCE(7)))</f>
        <v>#N/A</v>
      </c>
      <c r="D3" s="2" cm="1">
        <f t="array" aca="1" ref="D3:D16" ca="1">_xlfn.LET(
_xlpm.eff, IFERROR(INDEX(Property!J:J, MATCH("Date", Property!J:J, 0) + _xlfn.SEQUENCE(14)), ""),
_xlpm.close, IFERROR(INDEX(Property!D:D, MATCH("Closing Date", Property!D:D, 0) + 1), ""),
_xlpm.fallback, IF((_xlpm.close=0)+(_xlpm.close="")+(_xlpm.close="NA")+ISNA(_xlpm.close)+(_xlpm.close=DATE(1900,1,0)), TODAY(), _xlpm.close),
IF((_xlpm.eff=0)+(_xlpm.eff="")+(_xlpm.eff="NA")+ISNA(_xlpm.eff)+(_xlpm.eff=DATE(1900,1,0)), _xlpm.fallback + 0*_xlfn.SEQUENCE(14), _xlpm.eff)
)</f>
        <v>46232</v>
      </c>
      <c r="E3" s="2" t="e" cm="1">
        <f t="array" ref="E3:E9">INDEX(Property!K:K, MATCH("Keep As is", Property!K:K, 0) + _xlfn.SEQUENCE(7))</f>
        <v>#N/A</v>
      </c>
      <c r="F3" t="e" cm="1">
        <f t="array" ref="F3:F9">INDEX(Property!L:L, MATCH("Ownership, enter as decimal", Property!L:L, 0) + _xlfn.SEQUENCE(7))</f>
        <v>#N/A</v>
      </c>
      <c r="G3" s="2" t="e" cm="1">
        <f t="array" ref="G3:G9">INDEX(Property!M:M, MATCH("State Credit Type", Property!M:M, 0) + _xlfn.SEQUENCE(7))</f>
        <v>#N/A</v>
      </c>
      <c r="H3" s="2" t="e" cm="1">
        <f t="array" ref="H3:H9">INDEX(Property!N:N, MATCH("Credit Type", Property!N:N, 0) + _xlfn.SEQUENCE(7))</f>
        <v>#N/A</v>
      </c>
      <c r="I3" s="33" cm="1">
        <f t="array" aca="1" ref="I3:I16" ca="1">_xlfn.LET(
_xlpm.eff, IFERROR(INDEX(Property!O:O, MATCH("Start Date (same as Date)", Property!O:O, 0) + _xlfn.SEQUENCE(14)), ""),
_xlpm.close, IFERROR(INDEX(Property!D:D, MATCH("Closing Date", Property!D:D, 0) + 1), ""),
_xlpm.fallback, IF((_xlpm.close=0)+(_xlpm.close="")+(_xlpm.close="NA")+ISNA(_xlpm.close)+(_xlpm.close=DATE(1900,1,0)), TODAY(), _xlpm.close),
IF((_xlpm.eff=0)+(_xlpm.eff="")+(_xlpm.eff="NA")+ISNA(_xlpm.eff)+(_xlpm.eff=DATE(1900,1,0)), _xlpm.fallback + 0*_xlfn.SEQUENCE(14), _xlpm.eff)
)</f>
        <v>46232</v>
      </c>
    </row>
    <row r="4" spans="1:10" x14ac:dyDescent="0.35">
      <c r="A4" t="e">
        <v>#N/A</v>
      </c>
      <c r="B4" t="e">
        <v>#N/A</v>
      </c>
      <c r="C4" s="72" t="e">
        <v>#N/A</v>
      </c>
      <c r="D4" s="2">
        <f ca="1"/>
        <v>46232</v>
      </c>
      <c r="E4" s="2" t="e">
        <v>#N/A</v>
      </c>
      <c r="F4" t="e">
        <v>#N/A</v>
      </c>
      <c r="G4" t="e">
        <v>#N/A</v>
      </c>
      <c r="H4" t="e">
        <v>#N/A</v>
      </c>
      <c r="I4" s="33">
        <f ca="1"/>
        <v>46232</v>
      </c>
    </row>
    <row r="5" spans="1:10" x14ac:dyDescent="0.35">
      <c r="A5" t="e">
        <v>#N/A</v>
      </c>
      <c r="B5" t="e">
        <v>#N/A</v>
      </c>
      <c r="C5" s="72" t="e">
        <v>#N/A</v>
      </c>
      <c r="D5" s="2">
        <f ca="1"/>
        <v>46232</v>
      </c>
      <c r="E5" s="2" t="e">
        <v>#N/A</v>
      </c>
      <c r="F5" t="e">
        <v>#N/A</v>
      </c>
      <c r="G5" t="e">
        <v>#N/A</v>
      </c>
      <c r="H5" t="e">
        <v>#N/A</v>
      </c>
      <c r="I5" s="33">
        <f ca="1"/>
        <v>46232</v>
      </c>
    </row>
    <row r="6" spans="1:10" x14ac:dyDescent="0.35">
      <c r="A6" t="e">
        <v>#N/A</v>
      </c>
      <c r="B6" t="e">
        <v>#N/A</v>
      </c>
      <c r="C6" s="72" t="e">
        <v>#N/A</v>
      </c>
      <c r="D6" s="2">
        <f ca="1"/>
        <v>46232</v>
      </c>
      <c r="E6" s="2" t="e">
        <v>#N/A</v>
      </c>
      <c r="F6" t="e">
        <v>#N/A</v>
      </c>
      <c r="G6" t="e">
        <v>#N/A</v>
      </c>
      <c r="H6" t="e">
        <v>#N/A</v>
      </c>
      <c r="I6" s="33">
        <f ca="1"/>
        <v>46232</v>
      </c>
    </row>
    <row r="7" spans="1:10" x14ac:dyDescent="0.35">
      <c r="A7" t="e">
        <v>#N/A</v>
      </c>
      <c r="B7" t="e">
        <v>#N/A</v>
      </c>
      <c r="C7" s="72" t="e">
        <v>#N/A</v>
      </c>
      <c r="D7" s="2">
        <f ca="1"/>
        <v>46232</v>
      </c>
      <c r="E7" s="2" t="e">
        <v>#N/A</v>
      </c>
      <c r="F7" t="e">
        <v>#N/A</v>
      </c>
      <c r="G7" t="e">
        <v>#N/A</v>
      </c>
      <c r="H7" t="e">
        <v>#N/A</v>
      </c>
      <c r="I7" s="33">
        <f ca="1"/>
        <v>46232</v>
      </c>
    </row>
    <row r="8" spans="1:10" x14ac:dyDescent="0.35">
      <c r="A8" t="e">
        <v>#N/A</v>
      </c>
      <c r="B8" t="e">
        <v>#N/A</v>
      </c>
      <c r="C8" s="72" t="e">
        <v>#N/A</v>
      </c>
      <c r="D8" s="2">
        <f ca="1"/>
        <v>46232</v>
      </c>
      <c r="E8" s="2" t="e">
        <v>#N/A</v>
      </c>
      <c r="F8" t="e">
        <v>#N/A</v>
      </c>
      <c r="G8" t="e">
        <v>#N/A</v>
      </c>
      <c r="H8" t="e">
        <v>#N/A</v>
      </c>
      <c r="I8" s="33">
        <f ca="1"/>
        <v>46232</v>
      </c>
    </row>
    <row r="9" spans="1:10" x14ac:dyDescent="0.35">
      <c r="A9" t="e">
        <v>#N/A</v>
      </c>
      <c r="B9" t="e">
        <f>_xlfn.XLOOKUP(E9,Property!K29,Property!H29)</f>
        <v>#N/A</v>
      </c>
      <c r="C9" s="72" t="e">
        <v>#N/A</v>
      </c>
      <c r="D9" s="2">
        <f ca="1"/>
        <v>46232</v>
      </c>
      <c r="E9" s="2" t="e">
        <v>#N/A</v>
      </c>
      <c r="F9" t="e">
        <v>#N/A</v>
      </c>
      <c r="G9" t="e">
        <v>#N/A</v>
      </c>
      <c r="H9" t="e">
        <v>#N/A</v>
      </c>
      <c r="I9" s="33">
        <f ca="1"/>
        <v>46232</v>
      </c>
    </row>
    <row r="10" spans="1:10" x14ac:dyDescent="0.35">
      <c r="A10" t="e" cm="1">
        <f t="array" ref="A10">IF(AND(NOT(ISNA(B10)),B10&lt;&gt;"N/A",B10&lt;&gt;"NA",B10&lt;&gt;0,B10&lt;&gt;""),INDEX(Property!A:A,MATCH("Prop Code",Property!A:A,0)+1),"")</f>
        <v>#N/A</v>
      </c>
      <c r="B10" t="e" cm="1">
        <f t="array" ref="B10:B15">IFERROR(INDEX(Property!E:E, MATCH("Legal Entities", Property!E:E, 0) + _xlfn.SEQUENCE(6)),INDEX(Property!F:F, MATCH("Legal Entities", Property!F:F, 0) + _xlfn.SEQUENCE(6)))</f>
        <v>#N/A</v>
      </c>
      <c r="C10" s="72"/>
      <c r="D10" s="2">
        <f ca="1"/>
        <v>46232</v>
      </c>
      <c r="E10" s="2" t="s">
        <v>59</v>
      </c>
      <c r="F10" t="e" cm="1">
        <f t="array" ref="F10:F15">IFERROR(INDEX(Property!F:F, MATCH("Original Commitment", Property!F:F, 0) + _xlfn.SEQUENCE(6)) /
SUM(INDEX(Property!F:F, MATCH("Original Commitment", Property!F:F, 0) + _xlfn.SEQUENCE(6))),INDEX(Property!G:G, MATCH("Original Commitment", Property!G:G, 0) + _xlfn.SEQUENCE(6)) /
SUM(INDEX(Property!G:G, MATCH("Original Commitment", Property!G:G, 0) + _xlfn.SEQUENCE(6))))</f>
        <v>#N/A</v>
      </c>
      <c r="H10" t="s">
        <v>60</v>
      </c>
      <c r="I10" s="33">
        <f ca="1"/>
        <v>46232</v>
      </c>
    </row>
    <row r="11" spans="1:10" x14ac:dyDescent="0.35">
      <c r="A11" t="e" cm="1">
        <f t="array" ref="A11">IF(AND(NOT(ISNA(B11)),B11&lt;&gt;"N/A",B11&lt;&gt;"NA",B11&lt;&gt;0,B11&lt;&gt;""),INDEX(Property!A:A,MATCH("Prop Code",Property!A:A,0)+1),"")</f>
        <v>#N/A</v>
      </c>
      <c r="B11" t="e">
        <v>#N/A</v>
      </c>
      <c r="C11" s="72"/>
      <c r="D11" s="2">
        <f ca="1"/>
        <v>46232</v>
      </c>
      <c r="E11" s="2" t="s">
        <v>59</v>
      </c>
      <c r="F11" t="e">
        <v>#N/A</v>
      </c>
      <c r="H11" t="s">
        <v>60</v>
      </c>
      <c r="I11" s="33">
        <f ca="1"/>
        <v>46232</v>
      </c>
    </row>
    <row r="12" spans="1:10" x14ac:dyDescent="0.35">
      <c r="A12" t="e" cm="1">
        <f t="array" ref="A12">IF(AND(NOT(ISNA(B12)),B12&lt;&gt;"N/A",B12&lt;&gt;"NA",B12&lt;&gt;0,B12&lt;&gt;""),INDEX(Property!A:A,MATCH("Prop Code",Property!A:A,0)+1),"")</f>
        <v>#N/A</v>
      </c>
      <c r="B12" t="e">
        <v>#N/A</v>
      </c>
      <c r="C12" s="72"/>
      <c r="D12" s="2">
        <f ca="1"/>
        <v>46232</v>
      </c>
      <c r="E12" s="2" t="s">
        <v>59</v>
      </c>
      <c r="F12" t="e">
        <v>#N/A</v>
      </c>
      <c r="H12" t="s">
        <v>60</v>
      </c>
      <c r="I12" s="33">
        <f ca="1"/>
        <v>46232</v>
      </c>
    </row>
    <row r="13" spans="1:10" x14ac:dyDescent="0.35">
      <c r="A13" t="e" cm="1">
        <f t="array" ref="A13">IF(AND(NOT(ISNA(B13)),B13&lt;&gt;"N/A",B13&lt;&gt;"NA",B13&lt;&gt;0,B13&lt;&gt;""),INDEX(Property!A:A,MATCH("Prop Code",Property!A:A,0)+1),"")</f>
        <v>#N/A</v>
      </c>
      <c r="B13" t="e">
        <v>#N/A</v>
      </c>
      <c r="C13" s="72"/>
      <c r="D13" s="2">
        <f ca="1"/>
        <v>46232</v>
      </c>
      <c r="E13" s="2" t="s">
        <v>59</v>
      </c>
      <c r="F13" t="e">
        <v>#N/A</v>
      </c>
      <c r="H13" t="s">
        <v>60</v>
      </c>
      <c r="I13" s="33">
        <f ca="1"/>
        <v>46232</v>
      </c>
    </row>
    <row r="14" spans="1:10" x14ac:dyDescent="0.35">
      <c r="A14" t="e" cm="1">
        <f t="array" ref="A14">IF(AND(NOT(ISNA(B14)),B14&lt;&gt;"N/A",B14&lt;&gt;"NA",B14&lt;&gt;0,B14&lt;&gt;""),INDEX(Property!A:A,MATCH("Prop Code",Property!A:A,0)+1),"")</f>
        <v>#N/A</v>
      </c>
      <c r="B14" t="e">
        <v>#N/A</v>
      </c>
      <c r="C14" s="72"/>
      <c r="D14" s="2">
        <f ca="1"/>
        <v>46232</v>
      </c>
      <c r="E14" s="2" t="s">
        <v>59</v>
      </c>
      <c r="F14" t="e">
        <v>#N/A</v>
      </c>
      <c r="H14" t="s">
        <v>60</v>
      </c>
      <c r="I14" s="33">
        <f ca="1"/>
        <v>46232</v>
      </c>
    </row>
    <row r="15" spans="1:10" x14ac:dyDescent="0.35">
      <c r="A15" t="e" cm="1">
        <f t="array" ref="A15">IF(AND(NOT(ISNA(B15)),B15&lt;&gt;"N/A",B15&lt;&gt;"NA",B15&lt;&gt;0,B15&lt;&gt;""),INDEX(Property!A:A,MATCH("Prop Code",Property!A:A,0)+1),"")</f>
        <v>#N/A</v>
      </c>
      <c r="B15" t="e">
        <v>#N/A</v>
      </c>
      <c r="C15" s="72"/>
      <c r="D15" s="2">
        <f ca="1"/>
        <v>46232</v>
      </c>
      <c r="E15" s="2" t="s">
        <v>59</v>
      </c>
      <c r="F15" t="e">
        <v>#N/A</v>
      </c>
      <c r="H15" t="s">
        <v>60</v>
      </c>
      <c r="I15" s="33">
        <f ca="1"/>
        <v>46232</v>
      </c>
    </row>
    <row r="16" spans="1:10" x14ac:dyDescent="0.35">
      <c r="A16" t="e" cm="1">
        <f t="array" ref="A16">IF(AND(NOT(ISNA(B16)),B16&lt;&gt;"N/A",B16&lt;&gt;"NA",B16&lt;&gt;0,B16&lt;&gt;""),INDEX(Property!A:A,MATCH("Prop Code",Property!A:A,0)+1),"")</f>
        <v>#N/A</v>
      </c>
      <c r="B16" t="e" cm="1">
        <f t="array" ref="B16">INDEX(Property!A:A, MATCH("Fund", Property!A:A, 0) + 1)</f>
        <v>#N/A</v>
      </c>
      <c r="C16" s="72"/>
      <c r="D16" s="2">
        <f ca="1"/>
        <v>46232</v>
      </c>
      <c r="E16" s="2" t="s">
        <v>92</v>
      </c>
      <c r="F16">
        <v>1</v>
      </c>
      <c r="H16" t="s">
        <v>93</v>
      </c>
      <c r="I16" s="33">
        <f ca="1"/>
        <v>46232</v>
      </c>
    </row>
  </sheetData>
  <mergeCells count="1">
    <mergeCell ref="A1:I1"/>
  </mergeCells>
  <conditionalFormatting sqref="A3:I16">
    <cfRule type="expression" dxfId="1" priority="1">
      <formula>ISERROR($B3)</formula>
    </cfRule>
    <cfRule type="expression" dxfId="0" priority="2">
      <formula>OR($B3=0, $B3="", ISNA($B3), $B3="NA",$B3="N/A",$B3="TBD")</formula>
    </cfRule>
  </conditionalFormatting>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5DBB7331A47549AD1AF08EFA93BE12" ma:contentTypeVersion="18" ma:contentTypeDescription="Create a new document." ma:contentTypeScope="" ma:versionID="46eac82f3a2997d342b36147e2b7ee22">
  <xsd:schema xmlns:xsd="http://www.w3.org/2001/XMLSchema" xmlns:xs="http://www.w3.org/2001/XMLSchema" xmlns:p="http://schemas.microsoft.com/office/2006/metadata/properties" xmlns:ns2="c801c429-b8e8-42fa-90ee-2cac9dba9efa" xmlns:ns3="aee50f04-7053-420a-aae5-bed88c8780a7" targetNamespace="http://schemas.microsoft.com/office/2006/metadata/properties" ma:root="true" ma:fieldsID="b754568dfcb4e926d71f768e54cf0932" ns2:_="" ns3:_="">
    <xsd:import namespace="c801c429-b8e8-42fa-90ee-2cac9dba9efa"/>
    <xsd:import namespace="aee50f04-7053-420a-aae5-bed88c8780a7"/>
    <xsd:element name="properties">
      <xsd:complexType>
        <xsd:sequence>
          <xsd:element name="documentManagement">
            <xsd:complexType>
              <xsd:all>
                <xsd:element ref="ns2:Menu" minOccurs="0"/>
                <xsd:element ref="ns2:DocumentType" minOccurs="0"/>
                <xsd:element ref="ns2:MediaServiceMetadata" minOccurs="0"/>
                <xsd:element ref="ns2:MediaServiceFastMetadata" minOccurs="0"/>
                <xsd:element ref="ns2:MediaServiceObjectDetectorVersions"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01c429-b8e8-42fa-90ee-2cac9dba9efa" elementFormDefault="qualified">
    <xsd:import namespace="http://schemas.microsoft.com/office/2006/documentManagement/types"/>
    <xsd:import namespace="http://schemas.microsoft.com/office/infopath/2007/PartnerControls"/>
    <xsd:element name="Menu" ma:index="1" nillable="true" ma:displayName="Menu " ma:format="Dropdown" ma:internalName="Menu">
      <xsd:complexType>
        <xsd:complexContent>
          <xsd:extension base="dms:MultiChoice">
            <xsd:sequence>
              <xsd:element name="Value" maxOccurs="unbounded" minOccurs="0" nillable="true">
                <xsd:simpleType>
                  <xsd:restriction base="dms:Choice">
                    <xsd:enumeration value="Batchload, MIT"/>
                    <xsd:enumeration value="Collection Rules, Notifications, WorkQ"/>
                    <xsd:enumeration value="DMS Team"/>
                    <xsd:enumeration value="Documents/Data Types"/>
                    <xsd:enumeration value="Dropdown Codes"/>
                    <xsd:enumeration value="Financials/Accounting"/>
                    <xsd:enumeration value="IC Admin"/>
                    <xsd:enumeration value="Investor Connect Portal"/>
                    <xsd:enumeration value="MyMRI Client Portal"/>
                    <xsd:enumeration value="Occupancy"/>
                    <xsd:enumeration value="Onboarding/Internal Training"/>
                    <xsd:enumeration value="Other"/>
                    <xsd:enumeration value="Overviews/Dashboards"/>
                    <xsd:enumeration value="Parties"/>
                    <xsd:enumeration value="Product Development Team"/>
                    <xsd:enumeration value="Property/Investment"/>
                    <xsd:enumeration value="PS: Functional Consulting Team"/>
                    <xsd:enumeration value="PS: Tech Services Team"/>
                    <xsd:enumeration value="Queries/Notification Tools"/>
                    <xsd:enumeration value="Real Estate/LIHTC/Asset Mgmt"/>
                    <xsd:enumeration value="Reports"/>
                  </xsd:restriction>
                </xsd:simpleType>
              </xsd:element>
            </xsd:sequence>
          </xsd:extension>
        </xsd:complexContent>
      </xsd:complexType>
    </xsd:element>
    <xsd:element name="DocumentType" ma:index="2" nillable="true" ma:displayName="Document Type" ma:format="Dropdown" ma:internalName="DocumentType" ma:readOnly="false">
      <xsd:simpleType>
        <xsd:restriction base="dms:Choice">
          <xsd:enumeration value="Standard Operating Procedure"/>
          <xsd:enumeration value="Knowledge Article"/>
          <xsd:enumeration value="Demo"/>
          <xsd:enumeration value="Help Video"/>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765727e9-91e1-45b2-9fda-6c9332cc0721"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hidden="true" ma:internalName="MediaServiceOCR" ma:readOnly="true">
      <xsd:simpleType>
        <xsd:restriction base="dms:Note"/>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hidden="true"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ee50f04-7053-420a-aae5-bed88c8780a7"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bb4575b-31fb-48dd-85b3-a938b59f6cd8}" ma:internalName="TaxCatchAll" ma:readOnly="false" ma:showField="CatchAllData" ma:web="aee50f04-7053-420a-aae5-bed88c8780a7">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hidden="true" ma:internalName="SharedWithDetail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801c429-b8e8-42fa-90ee-2cac9dba9efa">
      <Terms xmlns="http://schemas.microsoft.com/office/infopath/2007/PartnerControls"/>
    </lcf76f155ced4ddcb4097134ff3c332f>
    <DocumentType xmlns="c801c429-b8e8-42fa-90ee-2cac9dba9efa" xsi:nil="true"/>
    <Menu xmlns="c801c429-b8e8-42fa-90ee-2cac9dba9efa" xsi:nil="true"/>
    <TaxCatchAll xmlns="aee50f04-7053-420a-aae5-bed88c8780a7" xsi:nil="true"/>
  </documentManagement>
</p:properties>
</file>

<file path=customXml/itemProps1.xml><?xml version="1.0" encoding="utf-8"?>
<ds:datastoreItem xmlns:ds="http://schemas.openxmlformats.org/officeDocument/2006/customXml" ds:itemID="{AA07D46B-9394-40EE-9916-676B51BE968B}"/>
</file>

<file path=customXml/itemProps2.xml><?xml version="1.0" encoding="utf-8"?>
<ds:datastoreItem xmlns:ds="http://schemas.openxmlformats.org/officeDocument/2006/customXml" ds:itemID="{0A78753A-324E-4431-B2AA-AA3E1A19AFEF}"/>
</file>

<file path=customXml/itemProps3.xml><?xml version="1.0" encoding="utf-8"?>
<ds:datastoreItem xmlns:ds="http://schemas.openxmlformats.org/officeDocument/2006/customXml" ds:itemID="{A3046888-C6CA-43C3-9969-E2631E2EFE2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GENERAL Instructions</vt:lpstr>
      <vt:lpstr>Property Setup Instructions</vt:lpstr>
      <vt:lpstr>Property</vt:lpstr>
      <vt:lpstr>Property - 4 (UPDATE)</vt:lpstr>
      <vt:lpstr>TXProp -5 (UPDATE)</vt:lpstr>
      <vt:lpstr>TXFinanicial_IC - 6 (LOAD)</vt:lpstr>
      <vt:lpstr>Event_Dates - 7 (LOAD)</vt:lpstr>
      <vt:lpstr>Commitment - 8 (LOAD)</vt:lpstr>
      <vt:lpstr>Payment - 9 (LOAD)</vt:lpstr>
      <vt:lpstr>PropInt- 10 (LOAD) </vt:lpstr>
      <vt:lpstr>Loan - 11 (LOAD)</vt:lpstr>
      <vt:lpstr>PropParties -12 (LOAD)</vt:lpstr>
      <vt:lpstr>Investors - 13 (LOAD)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Yohebeth Velasques</dc:creator>
  <cp:lastModifiedBy>Jairah Nepomuceno</cp:lastModifiedBy>
  <dcterms:created xsi:type="dcterms:W3CDTF">2022-08-18T20:26:21Z</dcterms:created>
  <dcterms:modified xsi:type="dcterms:W3CDTF">2026-07-29T22:37:41Z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0x010100195DBB7331A47549AD1AF08EFA93BE12</vt:lpwstr>
  </property>
</Properties>
</file>