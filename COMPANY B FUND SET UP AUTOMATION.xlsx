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metadata.xml" ContentType="application/vnd.openxmlformats-officedocument.spreadsheetml.sheetMetadata+xml"/>
  <Override PartName="/xl/featurePropertyBag/featurePropertyBag.xml" ContentType="application/vnd.ms-excel.featurepropertybag+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irah.Nepomuceno\Documents\IC LOAD\Property &amp; Fund Setup\Nationwide\Property &amp; Fund\"/>
    </mc:Choice>
  </mc:AlternateContent>
  <xr:revisionPtr revIDLastSave="0" documentId="13_ncr:1_{CDCD3597-CFFB-4CFE-8EA4-CACCBC4FB508}" xr6:coauthVersionLast="47" xr6:coauthVersionMax="47" xr10:uidLastSave="{00000000-0000-0000-0000-000000000000}"/>
  <bookViews>
    <workbookView xWindow="28680" yWindow="-120" windowWidth="29040" windowHeight="15720" firstSheet="9" activeTab="9" xr2:uid="{EDD85771-834A-4727-8285-F90C582AC0B9}"/>
  </bookViews>
  <sheets>
    <sheet name="GENERAL Instructions" sheetId="2" r:id="rId1"/>
    <sheet name="Fund Setup Instructions" sheetId="1" r:id="rId2"/>
    <sheet name="Fund" sheetId="5" r:id="rId3"/>
    <sheet name="Upper Tier Fund" sheetId="9" r:id="rId4"/>
    <sheet name="Fund - 5 (LOAD)" sheetId="3" r:id="rId5"/>
    <sheet name="PropParties -6 (LOAD)" sheetId="6" r:id="rId6"/>
    <sheet name="Owner - 7 (LOAD)" sheetId="7" r:id="rId7"/>
    <sheet name="Investors - 8 (LOAD)" sheetId="8" r:id="rId8"/>
    <sheet name="TXFinancial_IC - 9 (LOAD)" sheetId="10" r:id="rId9"/>
    <sheet name="Data Validation" sheetId="4" r:id="rId10"/>
    <sheet name="Event_Dates - 10 (LOAD)" sheetId="11" r:id="rId11"/>
    <sheet name="Collection Rules" sheetId="12" r:id="rId12"/>
    <sheet name="Collection_Rule - 12 (LOAD)" sheetId="13" r:id="rId13"/>
    <sheet name="Notification_Rule - 13 (LOAD)" sheetId="14" r:id="rId14"/>
  </sheets>
  <definedNames>
    <definedName name="_xlnm._FilterDatabase" localSheetId="4" hidden="1">'Fund - 5 (LOAD)'!$A$2:$H$3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4" l="1"/>
  <c r="C14" i="14"/>
  <c r="C4" i="14"/>
  <c r="C5" i="14"/>
  <c r="C6" i="14"/>
  <c r="C7" i="14"/>
  <c r="C8" i="14"/>
  <c r="C9" i="14"/>
  <c r="C10" i="14"/>
  <c r="C11" i="14"/>
  <c r="C12" i="14"/>
  <c r="C3" i="14"/>
  <c r="D22" i="4" a="1"/>
  <c r="D22" i="4" s="1"/>
  <c r="D23" i="4" a="1"/>
  <c r="D23" i="4" s="1"/>
  <c r="D24" i="4" a="1"/>
  <c r="D24" i="4" s="1"/>
  <c r="D25" i="4" a="1"/>
  <c r="D25" i="4" s="1"/>
  <c r="D26" i="4" a="1"/>
  <c r="D26" i="4" s="1"/>
  <c r="D27" i="4" a="1"/>
  <c r="D27" i="4" s="1"/>
  <c r="D28" i="4" a="1"/>
  <c r="D28" i="4" s="1"/>
  <c r="D29" i="4" a="1"/>
  <c r="D29" i="4" s="1"/>
  <c r="D30" i="4" a="1"/>
  <c r="D30" i="4" s="1"/>
  <c r="D31" i="4" a="1"/>
  <c r="D31" i="4" s="1"/>
  <c r="D32" i="4" a="1"/>
  <c r="D32" i="4" s="1"/>
  <c r="D33" i="4" a="1"/>
  <c r="D33" i="4" s="1"/>
  <c r="D34" i="4" a="1"/>
  <c r="D34" i="4" s="1"/>
  <c r="D35" i="4" a="1"/>
  <c r="D35" i="4" s="1"/>
  <c r="D36" i="4" a="1"/>
  <c r="D36" i="4" s="1"/>
  <c r="D37" i="4" a="1"/>
  <c r="D37" i="4" s="1"/>
  <c r="D38" i="4" a="1"/>
  <c r="D38" i="4" s="1"/>
  <c r="D39" i="4" a="1"/>
  <c r="D39" i="4" s="1"/>
  <c r="D40" i="4" a="1"/>
  <c r="D40" i="4" s="1"/>
  <c r="D41" i="4" a="1"/>
  <c r="D41" i="4" s="1"/>
  <c r="D42" i="4" a="1"/>
  <c r="D42" i="4" s="1"/>
  <c r="D43" i="4" a="1"/>
  <c r="D43" i="4" s="1"/>
  <c r="D44" i="4" a="1"/>
  <c r="D44" i="4" s="1"/>
  <c r="D45" i="4" a="1"/>
  <c r="D45" i="4" s="1"/>
  <c r="D46" i="4" a="1"/>
  <c r="D46" i="4" s="1"/>
  <c r="D47" i="4" a="1"/>
  <c r="D47" i="4" s="1"/>
  <c r="D48" i="4" a="1"/>
  <c r="D48" i="4" s="1"/>
  <c r="D49" i="4" a="1"/>
  <c r="D49" i="4" s="1"/>
  <c r="D50" i="4" a="1"/>
  <c r="D50" i="4" s="1"/>
  <c r="D51" i="4" a="1"/>
  <c r="D51" i="4" s="1"/>
  <c r="D52" i="4" a="1"/>
  <c r="D52" i="4" s="1"/>
  <c r="D53" i="4" a="1"/>
  <c r="D53" i="4" s="1"/>
  <c r="D21" i="4" a="1"/>
  <c r="D21" i="4" s="1"/>
  <c r="E3" i="11" a="1"/>
  <c r="E3" i="11" s="1"/>
  <c r="D3" i="10" a="1"/>
  <c r="D3" i="10" s="1"/>
  <c r="B6" i="13"/>
  <c r="B7" i="13"/>
  <c r="B8" i="13"/>
  <c r="B9" i="13"/>
  <c r="B10" i="13"/>
  <c r="B4" i="13"/>
  <c r="B5" i="13"/>
  <c r="B3" i="13"/>
  <c r="A3" i="11"/>
  <c r="C3" i="13" l="1" a="1"/>
  <c r="C3" i="13" s="1"/>
  <c r="F3" i="3" l="1" a="1"/>
  <c r="F3" i="3" s="1"/>
  <c r="E3" i="3" l="1" a="1"/>
  <c r="E3" i="3" s="1"/>
  <c r="C3" i="3" l="1" a="1"/>
  <c r="C3" i="3" s="1"/>
  <c r="C3" i="7" a="1"/>
  <c r="C3" i="7" s="1"/>
  <c r="F3" i="8" a="1"/>
  <c r="F3" i="8" s="1"/>
  <c r="B3" i="8" a="1"/>
  <c r="H3" i="7" a="1"/>
  <c r="H3" i="7" s="1"/>
  <c r="F4" i="11"/>
  <c r="E4" i="11" a="1"/>
  <c r="E4" i="11" s="1"/>
  <c r="A4" i="11"/>
  <c r="F3" i="11"/>
  <c r="C3" i="10" a="1"/>
  <c r="C3" i="10" s="1"/>
  <c r="A3" i="10"/>
  <c r="C9" i="8" a="1"/>
  <c r="C9" i="8" s="1"/>
  <c r="A9" i="8"/>
  <c r="C8" i="8" a="1"/>
  <c r="C8" i="8" s="1"/>
  <c r="A8" i="8"/>
  <c r="C7" i="8" a="1"/>
  <c r="C7" i="8" s="1"/>
  <c r="A7" i="8"/>
  <c r="C6" i="8" a="1"/>
  <c r="C6" i="8" s="1"/>
  <c r="A6" i="8"/>
  <c r="C5" i="8" a="1"/>
  <c r="C5" i="8" s="1"/>
  <c r="A5" i="8"/>
  <c r="C4" i="8" a="1"/>
  <c r="C4" i="8" s="1"/>
  <c r="A4" i="8"/>
  <c r="E3" i="8" a="1"/>
  <c r="E3" i="8" s="1"/>
  <c r="C3" i="8" a="1"/>
  <c r="C3" i="8" s="1"/>
  <c r="A3" i="8"/>
  <c r="I3" i="7" a="1"/>
  <c r="I3" i="7" s="1"/>
  <c r="G3" i="7" a="1"/>
  <c r="G3" i="7" s="1"/>
  <c r="F3" i="7" a="1"/>
  <c r="F3" i="7" s="1"/>
  <c r="E3" i="7" a="1"/>
  <c r="E3" i="7" s="1"/>
  <c r="B3" i="7" a="1"/>
  <c r="B3" i="7" s="1"/>
  <c r="A3" i="7"/>
  <c r="E4" i="6" a="1"/>
  <c r="E4" i="6" s="1"/>
  <c r="B4" i="6" a="1"/>
  <c r="B4" i="6" s="1"/>
  <c r="A4" i="6"/>
  <c r="E3" i="6" a="1"/>
  <c r="E3" i="6" s="1"/>
  <c r="B3" i="6" a="1"/>
  <c r="B3" i="6" s="1"/>
  <c r="A3" i="6"/>
  <c r="D3" i="3" a="1"/>
  <c r="D3" i="3" s="1"/>
  <c r="B3" i="3" a="1"/>
  <c r="B3" i="3" s="1"/>
  <c r="A3" i="3"/>
  <c r="B3"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<sst xmlns="http://schemas.openxmlformats.org/spreadsheetml/2006/main" count="434" uniqueCount="177">
  <si>
    <t>Identify the Type of Setup Requested by the NW Client</t>
  </si>
  <si>
    <t>vCode</t>
  </si>
  <si>
    <t>vPartnershipTaxID</t>
  </si>
  <si>
    <t>vPartnershipName</t>
  </si>
  <si>
    <t>dtClosed</t>
  </si>
  <si>
    <t>vTransType</t>
  </si>
  <si>
    <t>vAMFeesDescription</t>
  </si>
  <si>
    <t>iPipeline</t>
  </si>
  <si>
    <t>vMisc3</t>
  </si>
  <si>
    <t>Omit</t>
  </si>
  <si>
    <t>Disposed</t>
  </si>
  <si>
    <t>State Long-Term Fund</t>
  </si>
  <si>
    <t>Other Fund</t>
  </si>
  <si>
    <t>Certificated</t>
  </si>
  <si>
    <t>Guaranteed Fund</t>
  </si>
  <si>
    <t>discahif</t>
  </si>
  <si>
    <t>medbess</t>
  </si>
  <si>
    <t>modtob</t>
  </si>
  <si>
    <t>Fund Type</t>
  </si>
  <si>
    <t>&lt;&lt; Delete row before loading</t>
  </si>
  <si>
    <t>Owner</t>
  </si>
  <si>
    <t>vTarget</t>
  </si>
  <si>
    <t>vState</t>
  </si>
  <si>
    <t>vZip</t>
  </si>
  <si>
    <t>vParty</t>
  </si>
  <si>
    <t>fOwnership</t>
  </si>
  <si>
    <t>Fund Setup:</t>
  </si>
  <si>
    <t>A. Create Fund Code</t>
  </si>
  <si>
    <t>Multi-Investor fund</t>
  </si>
  <si>
    <t>Proprietary Fund</t>
  </si>
  <si>
    <t>Tax Credit Type</t>
  </si>
  <si>
    <t>vType</t>
  </si>
  <si>
    <t>vPreference</t>
  </si>
  <si>
    <t>dtStart</t>
  </si>
  <si>
    <t>Fund Manager</t>
  </si>
  <si>
    <t>Limited Partner</t>
  </si>
  <si>
    <t>General Partner</t>
  </si>
  <si>
    <t>vTaxID</t>
  </si>
  <si>
    <t>vName</t>
  </si>
  <si>
    <t>vCity</t>
  </si>
  <si>
    <t>bFund</t>
  </si>
  <si>
    <t>vInvestor</t>
  </si>
  <si>
    <t>iyear</t>
  </si>
  <si>
    <t>vsource</t>
  </si>
  <si>
    <t>fPriorityReturn</t>
  </si>
  <si>
    <t>vCodeEntityType</t>
  </si>
  <si>
    <t>vInvestorEntityType</t>
  </si>
  <si>
    <t>Legal Entity</t>
  </si>
  <si>
    <t>vEventType</t>
  </si>
  <si>
    <t>vEvent</t>
  </si>
  <si>
    <t>vDateType</t>
  </si>
  <si>
    <t>dtEvent</t>
  </si>
  <si>
    <t>Actual</t>
  </si>
  <si>
    <t>Lease Up</t>
  </si>
  <si>
    <t>Qualified Occupancy</t>
  </si>
  <si>
    <t>mAmount</t>
  </si>
  <si>
    <t>dtEffective</t>
  </si>
  <si>
    <t>Orig Commit</t>
  </si>
  <si>
    <t>dtEntry</t>
  </si>
  <si>
    <t>Acquisition</t>
  </si>
  <si>
    <t>Closing</t>
  </si>
  <si>
    <t>Collection Rules</t>
  </si>
  <si>
    <t>Go to collection rules screen and set up rules as follows based on Fund Type. Required rules are on the table below:</t>
  </si>
  <si>
    <t xml:space="preserve">Easiest way is to select a Fund which is similar (same Fund Type) and clone the records for the new fund. </t>
  </si>
  <si>
    <t>**Either look manually on the Fund screen for funds with similar fund type or search in query.</t>
  </si>
  <si>
    <t>Start Date= Closing Date</t>
  </si>
  <si>
    <t>Audits, k1s, Benefit schedules, Investor Reports, Ahic, Interim Financials, Property Summary, GAAP Loses/Credits</t>
  </si>
  <si>
    <t>Historic Multi/Historic Proprietary</t>
  </si>
  <si>
    <t>Audits, k1s</t>
  </si>
  <si>
    <t>LIHTC Multi/LIHTC Proprietary</t>
  </si>
  <si>
    <t>State Proprietary Fund/State Long Term</t>
  </si>
  <si>
    <t>Middle Tier</t>
  </si>
  <si>
    <t xml:space="preserve">Certificated </t>
  </si>
  <si>
    <t>No Collection Rules Needed, No Expiration Date needed, no Tax ID needed</t>
  </si>
  <si>
    <t>Audits, k1s, Benefit schedules, Investor Reports, Ahic, Interim Financials, Property Summar,GAAP Loses/Credits</t>
  </si>
  <si>
    <t>**Only modify Start Date when Cloning; DO NOT remove notifications but DELETE the emails/contacts in the notifications.</t>
  </si>
  <si>
    <t>Fund to Clone</t>
  </si>
  <si>
    <t>acmultiz, wohi113h</t>
  </si>
  <si>
    <t>ohio5, usa153</t>
  </si>
  <si>
    <t>wohi113</t>
  </si>
  <si>
    <t>Projected</t>
  </si>
  <si>
    <t>**Need to verify from client, because funds with similar type has 8 collection rules like usa150 and pnc83</t>
  </si>
  <si>
    <t>MRI Screen</t>
  </si>
  <si>
    <t>Field</t>
  </si>
  <si>
    <t>Required Value</t>
  </si>
  <si>
    <t>Impact if Incorrect</t>
  </si>
  <si>
    <t>Verified</t>
  </si>
  <si>
    <t>Historic Multi-Investor Fund</t>
  </si>
  <si>
    <t>Historic Proprietary Fund</t>
  </si>
  <si>
    <t>LIHTC Multi-Investor Fund</t>
  </si>
  <si>
    <t>LIHTC Proprietary Fund</t>
  </si>
  <si>
    <t>Middle Tier Guaranteed</t>
  </si>
  <si>
    <t>New Market Fund</t>
  </si>
  <si>
    <t>Other</t>
  </si>
  <si>
    <t>State Historic</t>
  </si>
  <si>
    <t>State Immediate Fund</t>
  </si>
  <si>
    <t>State Other</t>
  </si>
  <si>
    <t>State Proprietary Fund</t>
  </si>
  <si>
    <t>Energy Multi-Investor Fund</t>
  </si>
  <si>
    <t>Energy Proprietary Fund</t>
  </si>
  <si>
    <t>Withhold from Export</t>
  </si>
  <si>
    <t>Incomplete Setup; Wouldn't be able to identify Billing Type, hence, no Collection Rules could be setup</t>
  </si>
  <si>
    <t xml:space="preserve">Once the fund is reviewed by NW, they'll remove that hold so it could flow through their process. Updating that box again, will cause issues. It is going to send that fund through their process again. </t>
  </si>
  <si>
    <t>Fund Screen</t>
  </si>
  <si>
    <t>Incomplete Setup</t>
  </si>
  <si>
    <t>Fund Screen-Third Party Relationships</t>
  </si>
  <si>
    <t>Relationship/Link Type (Fund Manager)</t>
  </si>
  <si>
    <t>booltrue</t>
  </si>
  <si>
    <t>Interim Financials, Audits, k1s</t>
  </si>
  <si>
    <t>nefbf1</t>
  </si>
  <si>
    <t>• If it is not provided in the file, reach out to the client to request the missing fund type.
• Advise the client of any potential impact or issues that may arise if the information remains incomplete.</t>
  </si>
  <si>
    <t>•If it is not provided in the file, reach out to the client to request the missing Fund Manager.
•Once received, proceed with adding the relationship.</t>
  </si>
  <si>
    <t>FOR PROPETY AND FUND:
• Proceed to Property Setup and use the setup Fund here for the fields requiring Fund Codes</t>
  </si>
  <si>
    <t xml:space="preserve">FOR FUND ONLY:
• Email client setup has been completed
          If the client reports that the Fund is not appearing in the Entity List Report, this typically indicates that no property has been associated with the Fund and Legal Entity on the Investor screen.
If this is a Fund Setup case only, please advise the client accordingly.
</t>
  </si>
  <si>
    <t>D. List all missing items</t>
  </si>
  <si>
    <t xml:space="preserve">F. Fund &amp; Investment Verification Checklist
</t>
  </si>
  <si>
    <t>• Review all tables for #N/A or NULL values (highlighted in yellow).
• Document all missing items before deleting any rows or columns and proceeding with loading the tabs.
• After the setup is completed, refer to Section F to input the required values.</t>
  </si>
  <si>
    <t>G. Post-verification Step (Checklist completed)</t>
  </si>
  <si>
    <t>Billing Type (fund.vAMFeesDescription)</t>
  </si>
  <si>
    <t>Date Type (event_dates.vDateType)</t>
  </si>
  <si>
    <t>Fund Type (fund.vTransType)</t>
  </si>
  <si>
    <t>Billing Type</t>
  </si>
  <si>
    <t>Nationwide should provide requested code, if available use this code. If not, create a code that is not being used in system, try to follow naming convention of similar funds. Remember to only use lowercase letters. (If unsure, reach out to client in the case. See screenshot.)</t>
  </si>
  <si>
    <t xml:space="preserve">E. Process  Tabs
</t>
  </si>
  <si>
    <t>• Follow instructions in each  tab (they will auto-populate after you followed the General Instructions)
• Batch LOAD and manually enter Collection Rules
• After successful load, return to this page for validation</t>
  </si>
  <si>
    <t>CREATE FUND CODE HERE:</t>
  </si>
  <si>
    <t>• vAMFeesDescription; some types are not reflected on screen when batchloaded, need to double-check and manually enter.</t>
  </si>
  <si>
    <r>
      <t xml:space="preserve">Check the box. 
</t>
    </r>
    <r>
      <rPr>
        <b/>
        <sz val="11"/>
        <color theme="1"/>
        <rFont val="Aptos Narrow"/>
        <family val="2"/>
        <scheme val="minor"/>
      </rPr>
      <t>Please note that once it has been checked, it should not be unchecked or modified.</t>
    </r>
  </si>
  <si>
    <t>1. Copy All (Ctrl+A), (Ctrl+C), and Paste Values (Ctrl+Shift+V)
2. vTransType is always 'Orig Commit'</t>
  </si>
  <si>
    <t>1. Copy All (Ctrl+A), (Ctrl+C), and Paste Values (Ctrl+Shift+V)
2. vType is always 'Limited Partner'
3. Double-check if the address is formatted correctly
       City – Sometimes incorrectly included in the State field
       State – Must be a two-letter abbreviation
       ZIP Code – In US, a standard ZIP Code is always 5 digits. If only 4 digits are provided, add a zero in front
4. bFund is always 'booltrue'
5. Delete Gray Columns
Note: Certificated Fund Types do not have a Tax ID (vTaxID)</t>
  </si>
  <si>
    <t>1. Copy All (Ctrl+A), (Ctrl+C), and Paste Values (Ctrl+Shift+V)
2. For vDateType:
   • Acquisition= 'Actual'
   • Lease Up (Choose in the dropdown)
             • Federal Deals= 'Actual' 
             • State Deals= 'Projected'   
             • Other Deals= 'Actual'  
             If not sure, confirm with client in the case
3. Delete Gray Rows
Note: Certificated Fund Types do not have Qualified Occupancy Event</t>
  </si>
  <si>
    <t>sample1</t>
  </si>
  <si>
    <t>1. Copy All (Ctrl+A), (Ctrl+C), and Paste Values (Ctrl+Shift+V)
2. For vInvestor, search for the Fund Code in the Fund screen (Note: clients sometimes enter the Fund Name instead of the Fund Code). If no record is found,  ask client how to proceed. DO NOT ADD FUND.
3. Format fOwnership and fPriorityReturn in decimals (eg. If in excel sheet it shows 99.99%, it should be 0.9999)
4. vCodeEntityType and vInvestorEntityType are always 'Owner'
5. Delete Gray Rows</t>
  </si>
  <si>
    <t>Solar or Energy Multi/Proprietary</t>
  </si>
  <si>
    <t>iType_ID</t>
  </si>
  <si>
    <t>dtEnd</t>
  </si>
  <si>
    <t>vFrequency</t>
  </si>
  <si>
    <t>vCurrentPeriod</t>
  </si>
  <si>
    <t>dtCurrentDue</t>
  </si>
  <si>
    <t>Quarterly</t>
  </si>
  <si>
    <t>NULL</t>
  </si>
  <si>
    <t>Annually</t>
  </si>
  <si>
    <t>K1</t>
  </si>
  <si>
    <t>Audits</t>
  </si>
  <si>
    <t>AHIC - Quarter</t>
  </si>
  <si>
    <t>GAAP Losses/Credits</t>
  </si>
  <si>
    <t>Interims</t>
  </si>
  <si>
    <t>Benefit Schedule</t>
  </si>
  <si>
    <t>Investor Report</t>
  </si>
  <si>
    <t>Property Summary</t>
  </si>
  <si>
    <t>acmultiz</t>
  </si>
  <si>
    <t>bAuto</t>
  </si>
  <si>
    <t>dtActualDue</t>
  </si>
  <si>
    <t>ohio5</t>
  </si>
  <si>
    <t>pnc83</t>
  </si>
  <si>
    <t>Manual entry:</t>
  </si>
  <si>
    <t>Fund Type (vTranstype)</t>
  </si>
  <si>
    <t>F2:F18</t>
  </si>
  <si>
    <t>K21:K53</t>
  </si>
  <si>
    <t>iCollRuleID</t>
  </si>
  <si>
    <t>iLag</t>
  </si>
  <si>
    <t>iEmailID</t>
  </si>
  <si>
    <t>bActive</t>
  </si>
  <si>
    <t>vNotes</t>
  </si>
  <si>
    <t>Email</t>
  </si>
  <si>
    <t>BOOLTRUE</t>
  </si>
  <si>
    <t>UID</t>
  </si>
  <si>
    <r>
      <t>1. Choose the Fund Type from the Drop Down in</t>
    </r>
    <r>
      <rPr>
        <b/>
        <sz val="11"/>
        <color rgb="FF000000"/>
        <rFont val="Aptos Narrow"/>
        <family val="2"/>
        <scheme val="minor"/>
      </rPr>
      <t xml:space="preserve"> cell A3 </t>
    </r>
    <r>
      <rPr>
        <sz val="11"/>
        <color rgb="FF000000"/>
        <rFont val="Aptos Narrow"/>
        <family val="2"/>
        <scheme val="minor"/>
      </rPr>
      <t>(refer to vTransType in the Fund table)
2. Copy All (Ctrl+A), (Ctrl+C), and Paste Values (Ctrl+Shift+V)
3. Delete Column A
4. Delete Gray Rows
Note: Certificated Fund Types do not have Collection Rules</t>
    </r>
  </si>
  <si>
    <t xml:space="preserve">select * from Collection_Rule 
where vCode = 'your vCode'  </t>
  </si>
  <si>
    <t>iTypeID</t>
  </si>
  <si>
    <t>Data Type</t>
  </si>
  <si>
    <t>MANUAL ENTRY OR BATCHLOAD sheet 12 and 13:</t>
  </si>
  <si>
    <r>
      <t xml:space="preserve">1. Copy All (Ctrl+A), (Ctrl+C), and Paste Values (Ctrl+Shift+V)
2. For </t>
    </r>
    <r>
      <rPr>
        <b/>
        <sz val="11"/>
        <color theme="1"/>
        <rFont val="Aptos Narrow"/>
        <family val="2"/>
        <scheme val="minor"/>
      </rPr>
      <t>vParty,</t>
    </r>
    <r>
      <rPr>
        <sz val="11"/>
        <color theme="1"/>
        <rFont val="Aptos Narrow"/>
        <family val="2"/>
        <scheme val="minor"/>
      </rPr>
      <t xml:space="preserve"> search for the vendor in the Vendor screen and use the Vendor Code instead of the Vendor Name. If the vendor does not exist, create it using the Vendor Type indicated in the “vType” column of the file
3. Delete Gray Rows</t>
    </r>
  </si>
  <si>
    <r>
      <t xml:space="preserve">1. Follow instructions written on the Green Box below. Open SQL.
2. Copy All (Ctrl+A), (Ctrl+C), and Paste Values (Ctrl+Shift+V)
3. Delete Gray Rows
4. Delete </t>
    </r>
    <r>
      <rPr>
        <b/>
        <sz val="11"/>
        <color theme="1"/>
        <rFont val="Aptos Narrow"/>
        <family val="2"/>
        <scheme val="minor"/>
      </rPr>
      <t xml:space="preserve">Column A and B </t>
    </r>
    <r>
      <rPr>
        <sz val="11"/>
        <color theme="1"/>
        <rFont val="Aptos Narrow"/>
        <family val="2"/>
        <scheme val="minor"/>
      </rPr>
      <t xml:space="preserve">before loading. 
</t>
    </r>
    <r>
      <rPr>
        <b/>
        <sz val="11"/>
        <color theme="1"/>
        <rFont val="Aptos Narrow"/>
        <family val="2"/>
        <scheme val="minor"/>
      </rPr>
      <t>Note: Collection_Rule in sheet 12 must be loaded first</t>
    </r>
  </si>
  <si>
    <r>
      <t xml:space="preserve">1. Copy All (Ctrl+A), (Ctrl+C), and Paste Values (Ctrl+Shift+V)
2. </t>
    </r>
    <r>
      <rPr>
        <b/>
        <sz val="11"/>
        <color theme="1"/>
        <rFont val="Aptos Narrow"/>
        <family val="2"/>
        <scheme val="minor"/>
      </rPr>
      <t>vTransType</t>
    </r>
    <r>
      <rPr>
        <sz val="11"/>
        <color theme="1"/>
        <rFont val="Aptos Narrow"/>
        <family val="2"/>
        <scheme val="minor"/>
      </rPr>
      <t xml:space="preserve"> will auto-populate if a Fund Type is provided in the file. If NOT, select the appropriate option from the dropdown based on the Tax Credit Type (column E)
          IF Tax Credit Type =
              i. </t>
    </r>
    <r>
      <rPr>
        <b/>
        <sz val="11"/>
        <color theme="1"/>
        <rFont val="Aptos Narrow"/>
        <family val="2"/>
        <scheme val="minor"/>
      </rPr>
      <t>State Certificated</t>
    </r>
    <r>
      <rPr>
        <sz val="11"/>
        <color theme="1"/>
        <rFont val="Aptos Narrow"/>
        <family val="2"/>
        <scheme val="minor"/>
      </rPr>
      <t xml:space="preserve"> &gt; Certificated
              ii. </t>
    </r>
    <r>
      <rPr>
        <b/>
        <sz val="11"/>
        <color theme="1"/>
        <rFont val="Aptos Narrow"/>
        <family val="2"/>
        <scheme val="minor"/>
      </rPr>
      <t>State Historic</t>
    </r>
    <r>
      <rPr>
        <sz val="11"/>
        <color theme="1"/>
        <rFont val="Aptos Narrow"/>
        <family val="2"/>
        <scheme val="minor"/>
      </rPr>
      <t xml:space="preserve"> &gt; Historic Proprietary Fund
              iii. </t>
    </r>
    <r>
      <rPr>
        <b/>
        <sz val="11"/>
        <color theme="1"/>
        <rFont val="Aptos Narrow"/>
        <family val="2"/>
        <scheme val="minor"/>
      </rPr>
      <t>Federal Solar</t>
    </r>
    <r>
      <rPr>
        <sz val="11"/>
        <color theme="1"/>
        <rFont val="Aptos Narrow"/>
        <family val="2"/>
        <scheme val="minor"/>
      </rPr>
      <t xml:space="preserve"> &gt; Energy Proprietary Fund
              iv. </t>
    </r>
    <r>
      <rPr>
        <b/>
        <sz val="11"/>
        <color theme="1"/>
        <rFont val="Aptos Narrow"/>
        <family val="2"/>
        <scheme val="minor"/>
      </rPr>
      <t>Federal LIHTC</t>
    </r>
    <r>
      <rPr>
        <sz val="11"/>
        <color theme="1"/>
        <rFont val="Aptos Narrow"/>
        <family val="2"/>
        <scheme val="minor"/>
      </rPr>
      <t xml:space="preserve"> &gt; LIHTC Proprietary Fund
               v. </t>
    </r>
    <r>
      <rPr>
        <b/>
        <sz val="11"/>
        <color theme="1"/>
        <rFont val="Aptos Narrow"/>
        <family val="2"/>
        <scheme val="minor"/>
      </rPr>
      <t>State Certificated</t>
    </r>
    <r>
      <rPr>
        <sz val="11"/>
        <color theme="1"/>
        <rFont val="Aptos Narrow"/>
        <family val="2"/>
        <scheme val="minor"/>
      </rPr>
      <t xml:space="preserve"> &gt; Certificated 
               vi. If unsure of what billing type should be, query fund table to find similar deal and mimic billing type or ask NW
      </t>
    </r>
    <r>
      <rPr>
        <b/>
        <sz val="11"/>
        <color theme="1"/>
        <rFont val="Aptos Narrow"/>
        <family val="2"/>
        <scheme val="minor"/>
      </rPr>
      <t xml:space="preserve"> Note: Solar Proprietary Fund should be Energy Proprietary Fund</t>
    </r>
    <r>
      <rPr>
        <sz val="11"/>
        <color theme="1"/>
        <rFont val="Aptos Narrow"/>
        <family val="2"/>
        <scheme val="minor"/>
      </rPr>
      <t xml:space="preserve">
3. For </t>
    </r>
    <r>
      <rPr>
        <b/>
        <sz val="11"/>
        <color theme="1"/>
        <rFont val="Aptos Narrow"/>
        <family val="2"/>
        <scheme val="minor"/>
      </rPr>
      <t>vAMFeesDescription</t>
    </r>
    <r>
      <rPr>
        <sz val="11"/>
        <color theme="1"/>
        <rFont val="Aptos Narrow"/>
        <family val="2"/>
        <scheme val="minor"/>
      </rPr>
      <t xml:space="preserve"> field, also refer to Tax Credit Type in column E. (Choose in the dropdown)
        IF Tax Credit Type =
               i.	 Federal LIHTC Multi Investor Fund or Historic Multi, or Solar multi &gt;</t>
    </r>
    <r>
      <rPr>
        <b/>
        <sz val="11"/>
        <color theme="1"/>
        <rFont val="Aptos Narrow"/>
        <family val="2"/>
        <scheme val="minor"/>
      </rPr>
      <t xml:space="preserve"> Multi Investor Fund</t>
    </r>
    <r>
      <rPr>
        <sz val="11"/>
        <color theme="1"/>
        <rFont val="Aptos Narrow"/>
        <family val="2"/>
        <scheme val="minor"/>
      </rPr>
      <t xml:space="preserve">
               ii.	 Federal LIHTC Proprietary or Historic Proprietary, or Solar/Energy Proprietary &gt; </t>
    </r>
    <r>
      <rPr>
        <b/>
        <sz val="11"/>
        <color theme="1"/>
        <rFont val="Aptos Narrow"/>
        <family val="2"/>
        <scheme val="minor"/>
      </rPr>
      <t>Proprietary Fund</t>
    </r>
    <r>
      <rPr>
        <sz val="11"/>
        <color theme="1"/>
        <rFont val="Aptos Narrow"/>
        <family val="2"/>
        <scheme val="minor"/>
      </rPr>
      <t xml:space="preserve">
               iii.	 State Proprietary/State Historic/State Long Term/State Direct &gt; </t>
    </r>
    <r>
      <rPr>
        <b/>
        <sz val="11"/>
        <color theme="1"/>
        <rFont val="Aptos Narrow"/>
        <family val="2"/>
        <scheme val="minor"/>
      </rPr>
      <t>State Long Term Fund</t>
    </r>
    <r>
      <rPr>
        <sz val="11"/>
        <color theme="1"/>
        <rFont val="Aptos Narrow"/>
        <family val="2"/>
        <scheme val="minor"/>
      </rPr>
      <t xml:space="preserve">
               iv.	 Certificated Fund, Guaranteed Fund or Middle Tier Guaranteed Fund/Debt &gt; </t>
    </r>
    <r>
      <rPr>
        <b/>
        <sz val="11"/>
        <color theme="1"/>
        <rFont val="Aptos Narrow"/>
        <family val="2"/>
        <scheme val="minor"/>
      </rPr>
      <t>Other Fund</t>
    </r>
    <r>
      <rPr>
        <sz val="11"/>
        <color theme="1"/>
        <rFont val="Aptos Narrow"/>
        <family val="2"/>
        <scheme val="minor"/>
      </rPr>
      <t xml:space="preserve">
                v.	 If unsure of what billing type should be, query fund table to find similar deal and mimic billing type or ask NW
4. iPipeline is always '1'
5. Delete Gray Columns
6. Delete Column E
Note: Certificated Fund Types do not have a Tax ID (vPartnershipTaxID) and Expiration Date (dtClosed)</t>
    </r>
  </si>
  <si>
    <t>boolfalse</t>
  </si>
  <si>
    <t>Proprietary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</si>
</sst>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2" formatCode="_(&quot;$&quot;* #,##0_);_(&quot;$&quot;* \(#,##0\);_(&quot;$&quot;* &quot;-&quot;_);_(@_)"/>
    <numFmt numFmtId="44" formatCode="_(&quot;$&quot;* #,##0.00_);_(&quot;$&quot;* \(#,##0.00\);_(&quot;$&quot;* &quot;-&quot;??_);_(@_)"/>
    <numFmt numFmtId="164" formatCode="_(&quot;$&quot;* #,##0_);_(&quot;$&quot;* \(#,##0\);_(&quot;$&quot;* &quot;-&quot;??_);_(@_)"/>
    <numFmt numFmtId="165" formatCode="0_);[Red]\(0\)"/>
    <numFmt numFmtId="166" formatCode="_([$$-409]* #,##0.00_);_([$$-409]* \(#,##0.00\);_([$$-409]* &quot;-&quot;??_);_(@_)"/>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Calibri"/>
      <family val="2"/>
    </font>
    <font>
      <b/>
      <sz val="10"/>
      <color theme="1"/>
      <name val="Arial"/>
      <family val="2"/>
    </font>
    <font>
      <sz val="10"/>
      <color theme="1"/>
      <name val="Arial"/>
      <family val="2"/>
    </font>
    <font>
      <sz val="10"/>
      <name val="Arial"/>
      <family val="2"/>
    </font>
    <font>
      <b/>
      <sz val="10"/>
      <name val="Arial"/>
      <family val="2"/>
    </font>
    <font>
      <b/>
      <sz val="11"/>
      <name val="Arial Narrow"/>
      <family val="2"/>
    </font>
    <font>
      <i/>
      <sz val="10"/>
      <name val="Arial"/>
      <family val="2"/>
    </font>
    <font>
      <sz val="11"/>
      <name val="Arial Narrow"/>
      <family val="2"/>
    </font>
    <font>
      <i/>
      <sz val="10"/>
      <name val="Arial Narrow"/>
      <family val="2"/>
    </font>
    <font>
      <b/>
      <sz val="10"/>
      <name val="Arial Narrow"/>
      <family val="2"/>
    </font>
    <font>
      <b/>
      <u/>
      <sz val="14"/>
      <color theme="1"/>
      <name val="Calibri"/>
      <family val="2"/>
    </font>
    <font>
      <sz val="12"/>
      <color theme="1"/>
      <name val="Calibri"/>
      <family val="2"/>
    </font>
    <font>
      <b/>
      <sz val="12"/>
      <color theme="1"/>
      <name val="Calibri"/>
      <family val="2"/>
    </font>
    <font>
      <b/>
      <sz val="12"/>
      <color rgb="FF000000"/>
      <name val="Calibri"/>
      <family val="2"/>
    </font>
    <font>
      <b/>
      <u/>
      <sz val="14"/>
      <color theme="1"/>
      <name val="Aptos Narrow"/>
      <family val="2"/>
      <scheme val="minor"/>
    </font>
    <font>
      <sz val="10"/>
      <color rgb="FF000000"/>
      <name val="Noto Sans"/>
      <family val="2"/>
    </font>
    <font>
      <sz val="11"/>
      <color rgb="FF000000"/>
      <name val="Aptos Narrow"/>
      <family val="2"/>
      <scheme val="minor"/>
    </font>
    <font>
      <b/>
      <sz val="11"/>
      <color rgb="FF000000"/>
      <name val="Aptos Narrow"/>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rgb="FF5B9BD5"/>
        <bgColor indexed="64"/>
      </patternFill>
    </fill>
    <fill>
      <patternFill patternType="solid">
        <fgColor theme="3" tint="0.499984740745262"/>
        <bgColor indexed="64"/>
      </patternFill>
    </fill>
    <fill>
      <patternFill patternType="solid">
        <fgColor theme="9"/>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7"/>
        <bgColor indexed="64"/>
      </patternFill>
    </fill>
    <fill>
      <patternFill patternType="solid">
        <fgColor theme="1"/>
        <bgColor indexed="64"/>
      </patternFill>
    </fill>
  </fills>
  <borders count="25">
    <border>
      <left/>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7">
    <xf numFmtId="0" fontId="0" fillId="0" borderId="0"/>
    <xf numFmtId="44" fontId="1" fillId="0" borderId="0" applyFont="0" applyFill="0" applyBorder="0" applyAlignment="0" applyProtection="0"/>
    <xf numFmtId="0" fontId="1" fillId="0" borderId="0"/>
    <xf numFmtId="0" fontId="6" fillId="0" borderId="0"/>
    <xf numFmtId="0" fontId="1" fillId="0" borderId="0"/>
    <xf numFmtId="0" fontId="1" fillId="0" borderId="0"/>
    <xf numFmtId="0" fontId="1" fillId="0" borderId="0"/>
  </cellStyleXfs>
  <cellXfs count="143">
    <xf numFmtId="0" fontId="0" fillId="0" borderId="0" xfId="0"/>
    <xf numFmtId="14" fontId="0" fillId="0" borderId="0" xfId="0" applyNumberFormat="1"/>
    <xf numFmtId="0" fontId="0" fillId="0" borderId="0" xfId="0" applyAlignment="1">
      <alignment horizontal="right"/>
    </xf>
    <xf numFmtId="0" fontId="0" fillId="0" borderId="0" xfId="0" applyAlignment="1">
      <alignment horizontal="left"/>
    </xf>
    <xf numFmtId="14" fontId="0" fillId="0" borderId="0" xfId="0" applyNumberFormat="1" applyAlignment="1">
      <alignment horizontal="left"/>
    </xf>
    <xf numFmtId="14" fontId="0" fillId="6" borderId="0" xfId="0" applyNumberFormat="1" applyFill="1" applyAlignment="1">
      <alignment horizontal="left"/>
    </xf>
    <xf numFmtId="0" fontId="0" fillId="0" borderId="3" xfId="0" applyBorder="1" applyAlignment="1">
      <alignment vertical="center" wrapText="1"/>
    </xf>
    <xf numFmtId="0" fontId="0" fillId="0" borderId="0" xfId="0" applyAlignment="1">
      <alignment vertical="center"/>
    </xf>
    <xf numFmtId="0" fontId="0" fillId="0" borderId="6" xfId="0" applyBorder="1"/>
    <xf numFmtId="0" fontId="0" fillId="0" borderId="9" xfId="0" applyBorder="1"/>
    <xf numFmtId="0" fontId="0" fillId="0" borderId="8" xfId="0" applyBorder="1"/>
    <xf numFmtId="0" fontId="0" fillId="0" borderId="12" xfId="0" applyBorder="1"/>
    <xf numFmtId="0" fontId="2" fillId="0" borderId="0" xfId="0" applyFont="1"/>
    <xf numFmtId="0" fontId="13" fillId="0" borderId="0" xfId="0" applyFont="1" applyAlignment="1">
      <alignment horizontal="justify" vertical="center"/>
    </xf>
    <xf numFmtId="0" fontId="14" fillId="0" borderId="0" xfId="0" applyFont="1" applyAlignment="1">
      <alignment vertical="center"/>
    </xf>
    <xf numFmtId="0" fontId="15" fillId="0" borderId="0" xfId="0" applyFont="1" applyAlignment="1">
      <alignment vertical="center"/>
    </xf>
    <xf numFmtId="0" fontId="16" fillId="9" borderId="15" xfId="0" applyFont="1" applyFill="1" applyBorder="1" applyAlignment="1">
      <alignment vertical="center" wrapText="1"/>
    </xf>
    <xf numFmtId="0" fontId="14" fillId="0" borderId="16" xfId="0" applyFont="1" applyBorder="1" applyAlignment="1">
      <alignment vertical="center" wrapText="1"/>
    </xf>
    <xf numFmtId="0" fontId="17" fillId="0" borderId="0" xfId="0" applyFont="1"/>
    <xf numFmtId="0" fontId="16" fillId="9" borderId="14" xfId="0" applyFont="1" applyFill="1" applyBorder="1" applyAlignment="1">
      <alignment vertical="center" wrapText="1"/>
    </xf>
    <xf numFmtId="0" fontId="14" fillId="0" borderId="2" xfId="0" applyFont="1" applyBorder="1" applyAlignment="1">
      <alignment vertical="center" wrapText="1"/>
    </xf>
    <xf numFmtId="0" fontId="14" fillId="0" borderId="1" xfId="0" applyFont="1" applyBorder="1" applyAlignment="1">
      <alignment vertical="center" wrapText="1"/>
    </xf>
    <xf numFmtId="0" fontId="14" fillId="0" borderId="17" xfId="0" applyFont="1" applyBorder="1" applyAlignment="1">
      <alignment vertical="center" wrapText="1"/>
    </xf>
    <xf numFmtId="0" fontId="14" fillId="0" borderId="17" xfId="0" applyFont="1" applyBorder="1" applyAlignment="1">
      <alignment horizontal="left" vertical="center" wrapText="1"/>
    </xf>
    <xf numFmtId="0" fontId="14" fillId="0" borderId="15" xfId="0" applyFont="1" applyBorder="1" applyAlignment="1">
      <alignment vertical="center" wrapText="1"/>
    </xf>
    <xf numFmtId="0" fontId="14" fillId="0" borderId="14" xfId="0" applyFont="1" applyBorder="1" applyAlignment="1">
      <alignment vertical="center" wrapText="1"/>
    </xf>
    <xf numFmtId="0" fontId="0" fillId="0" borderId="15" xfId="0" applyBorder="1" applyAlignment="1">
      <alignment horizontal="center" vertical="center"/>
    </xf>
    <xf numFmtId="0" fontId="2" fillId="10" borderId="15" xfId="0" applyFont="1" applyFill="1" applyBorder="1"/>
    <xf numFmtId="0" fontId="0" fillId="0" borderId="1" xfId="0" applyBorder="1" applyAlignment="1">
      <alignment horizontal="center" vertical="center"/>
    </xf>
    <xf numFmtId="0" fontId="0" fillId="0" borderId="3" xfId="0" applyBorder="1" applyAlignment="1">
      <alignment horizontal="left" vertical="top"/>
    </xf>
    <xf numFmtId="0" fontId="0" fillId="0" borderId="18" xfId="0" applyBorder="1"/>
    <xf numFmtId="0" fontId="0" fillId="0" borderId="4" xfId="0" applyBorder="1"/>
    <xf numFmtId="0" fontId="0" fillId="5" borderId="3" xfId="0" applyFill="1" applyBorder="1"/>
    <xf numFmtId="0" fontId="0" fillId="0" borderId="7" xfId="0" applyBorder="1"/>
    <xf numFmtId="14" fontId="0" fillId="0" borderId="7" xfId="0" applyNumberFormat="1" applyBorder="1"/>
    <xf numFmtId="0" fontId="2" fillId="11" borderId="3" xfId="0" applyFont="1" applyFill="1" applyBorder="1" applyAlignment="1">
      <alignment horizontal="center" vertical="center" wrapText="1"/>
    </xf>
    <xf numFmtId="0" fontId="2" fillId="11" borderId="3" xfId="0" applyFont="1" applyFill="1" applyBorder="1" applyAlignment="1">
      <alignment horizontal="center" vertical="center"/>
    </xf>
    <xf numFmtId="0" fontId="0" fillId="7" borderId="3" xfId="0" applyFill="1" applyBorder="1" applyAlignment="1">
      <alignment vertical="center" wrapText="1"/>
    </xf>
    <xf numFmtId="0" fontId="0" fillId="7" borderId="3" xfId="0" applyFill="1" applyBorder="1" applyAlignment="1">
      <alignment vertical="center"/>
      <extLst>
        <ext xmlns:xfpb="http://schemas.microsoft.com/office/spreadsheetml/2022/featurepropertybag" uri="{C7286773-470A-42A8-94C5-96B5CB345126}">
          <xfpb:xfComplement i="0"/>
        </ext>
      </extLst>
    </xf>
    <xf numFmtId="0" fontId="2" fillId="2" borderId="3" xfId="0" applyFont="1" applyFill="1" applyBorder="1" applyAlignment="1">
      <alignment horizontal="right" vertical="center"/>
    </xf>
    <xf numFmtId="0" fontId="0" fillId="3" borderId="3" xfId="0" applyFill="1" applyBorder="1"/>
    <xf numFmtId="0" fontId="0" fillId="0" borderId="5" xfId="0" applyBorder="1"/>
    <xf numFmtId="0" fontId="0" fillId="0" borderId="3" xfId="0" applyBorder="1" applyAlignment="1">
      <alignment vertical="center"/>
      <extLst>
        <ext xmlns:xfpb="http://schemas.microsoft.com/office/spreadsheetml/2022/featurepropertybag" uri="{C7286773-470A-42A8-94C5-96B5CB345126}">
          <xfpb:xfComplement i="0"/>
        </ext>
      </extLst>
    </xf>
    <xf numFmtId="0" fontId="0" fillId="8" borderId="15" xfId="0" applyFill="1" applyBorder="1" applyAlignment="1">
      <alignment horizontal="left" vertical="center" wrapText="1"/>
    </xf>
    <xf numFmtId="0" fontId="0" fillId="0" borderId="15" xfId="0" applyBorder="1" applyAlignment="1">
      <alignment horizontal="center" vertical="center" wrapText="1"/>
    </xf>
    <xf numFmtId="0" fontId="0" fillId="0" borderId="0" xfId="0" applyAlignment="1">
      <alignment horizontal="left" vertical="center" indent="1"/>
    </xf>
    <xf numFmtId="0" fontId="2" fillId="0" borderId="0" xfId="0" applyFont="1" applyAlignment="1">
      <alignment horizontal="left" vertical="center" indent="1"/>
    </xf>
    <xf numFmtId="164" fontId="5" fillId="0" borderId="0" xfId="1" applyNumberFormat="1" applyFont="1" applyFill="1" applyBorder="1"/>
    <xf numFmtId="0" fontId="0" fillId="0" borderId="0" xfId="0" applyAlignment="1">
      <alignment horizontal="left" vertical="top"/>
    </xf>
    <xf numFmtId="0" fontId="0" fillId="12" borderId="3" xfId="0" applyFill="1" applyBorder="1" applyAlignment="1">
      <alignment vertical="top" wrapText="1"/>
    </xf>
    <xf numFmtId="0" fontId="0" fillId="12" borderId="10" xfId="0" applyFill="1" applyBorder="1" applyAlignment="1">
      <alignment horizontal="left" vertical="top" wrapText="1"/>
    </xf>
    <xf numFmtId="0" fontId="0" fillId="12" borderId="4" xfId="0" applyFill="1" applyBorder="1" applyAlignment="1">
      <alignment horizontal="left" vertical="top" wrapText="1"/>
    </xf>
    <xf numFmtId="0" fontId="2" fillId="12" borderId="15" xfId="0" applyFont="1" applyFill="1" applyBorder="1" applyAlignment="1">
      <alignment vertical="center"/>
    </xf>
    <xf numFmtId="0" fontId="4" fillId="0" borderId="0" xfId="2" applyFont="1" applyAlignment="1">
      <alignment horizontal="center"/>
    </xf>
    <xf numFmtId="0" fontId="5" fillId="0" borderId="0" xfId="2" applyFont="1"/>
    <xf numFmtId="0" fontId="1" fillId="0" borderId="0" xfId="2"/>
    <xf numFmtId="0" fontId="7" fillId="0" borderId="0" xfId="3" applyFont="1" applyAlignment="1">
      <alignment horizontal="center" wrapText="1"/>
    </xf>
    <xf numFmtId="14" fontId="5" fillId="0" borderId="0" xfId="2" applyNumberFormat="1" applyFont="1"/>
    <xf numFmtId="0" fontId="18" fillId="0" borderId="0" xfId="0" applyFont="1"/>
    <xf numFmtId="0" fontId="8" fillId="0" borderId="0" xfId="4" applyFont="1"/>
    <xf numFmtId="0" fontId="4" fillId="0" borderId="0" xfId="2" applyFont="1"/>
    <xf numFmtId="0" fontId="2" fillId="0" borderId="0" xfId="2" applyFont="1"/>
    <xf numFmtId="0" fontId="7" fillId="0" borderId="0" xfId="3" applyFont="1" applyAlignment="1">
      <alignment horizontal="left" wrapText="1"/>
    </xf>
    <xf numFmtId="0" fontId="9" fillId="0" borderId="0" xfId="3" applyFont="1"/>
    <xf numFmtId="0" fontId="6" fillId="0" borderId="0" xfId="3"/>
    <xf numFmtId="38" fontId="5" fillId="0" borderId="0" xfId="2" applyNumberFormat="1" applyFont="1"/>
    <xf numFmtId="165" fontId="5" fillId="0" borderId="0" xfId="2" applyNumberFormat="1" applyFont="1"/>
    <xf numFmtId="0" fontId="8" fillId="0" borderId="0" xfId="2" applyFont="1"/>
    <xf numFmtId="0" fontId="10" fillId="0" borderId="0" xfId="2" applyFont="1"/>
    <xf numFmtId="0" fontId="11" fillId="0" borderId="0" xfId="3" applyFont="1"/>
    <xf numFmtId="38" fontId="10" fillId="0" borderId="0" xfId="2" applyNumberFormat="1" applyFont="1"/>
    <xf numFmtId="0" fontId="4" fillId="0" borderId="0" xfId="2" applyFont="1" applyAlignment="1">
      <alignment wrapText="1"/>
    </xf>
    <xf numFmtId="5" fontId="5" fillId="0" borderId="0" xfId="2" applyNumberFormat="1" applyFont="1"/>
    <xf numFmtId="9" fontId="5" fillId="0" borderId="0" xfId="2" applyNumberFormat="1" applyFont="1" applyAlignment="1">
      <alignment horizontal="right"/>
    </xf>
    <xf numFmtId="42" fontId="5" fillId="0" borderId="0" xfId="2" applyNumberFormat="1" applyFont="1"/>
    <xf numFmtId="0" fontId="12" fillId="0" borderId="0" xfId="3" applyFont="1"/>
    <xf numFmtId="14" fontId="10" fillId="0" borderId="0" xfId="2" applyNumberFormat="1" applyFont="1"/>
    <xf numFmtId="5" fontId="10" fillId="0" borderId="0" xfId="2" applyNumberFormat="1" applyFont="1"/>
    <xf numFmtId="38" fontId="8" fillId="0" borderId="0" xfId="2" applyNumberFormat="1" applyFont="1"/>
    <xf numFmtId="0" fontId="0" fillId="2" borderId="4" xfId="0" applyFill="1" applyBorder="1" applyAlignment="1">
      <alignment horizontal="center" vertical="center"/>
    </xf>
    <xf numFmtId="0" fontId="2" fillId="6" borderId="3" xfId="0" applyFont="1" applyFill="1" applyBorder="1"/>
    <xf numFmtId="14" fontId="0" fillId="0" borderId="6" xfId="0" applyNumberFormat="1" applyBorder="1"/>
    <xf numFmtId="14" fontId="0" fillId="0" borderId="9" xfId="0" applyNumberFormat="1" applyBorder="1"/>
    <xf numFmtId="14" fontId="0" fillId="4" borderId="0" xfId="0" applyNumberFormat="1" applyFill="1" applyAlignment="1">
      <alignment horizontal="left"/>
    </xf>
    <xf numFmtId="0" fontId="0" fillId="8" borderId="5" xfId="0" applyFill="1" applyBorder="1" applyAlignment="1">
      <alignment horizontal="center" vertical="center" wrapText="1"/>
    </xf>
    <xf numFmtId="0" fontId="0" fillId="8" borderId="0" xfId="0" applyFill="1" applyAlignment="1">
      <alignment horizontal="left"/>
    </xf>
    <xf numFmtId="0" fontId="0" fillId="8" borderId="7" xfId="0" applyFill="1" applyBorder="1"/>
    <xf numFmtId="0" fontId="2" fillId="0" borderId="0" xfId="0" applyFont="1" applyAlignment="1">
      <alignment horizontal="center" vertical="center"/>
    </xf>
    <xf numFmtId="10" fontId="0" fillId="0" borderId="0" xfId="0" applyNumberFormat="1"/>
    <xf numFmtId="0" fontId="0" fillId="8" borderId="11" xfId="0" applyFill="1" applyBorder="1" applyAlignment="1">
      <alignment vertical="center" wrapText="1"/>
    </xf>
    <xf numFmtId="0" fontId="0" fillId="8" borderId="3" xfId="0" applyFill="1" applyBorder="1" applyAlignment="1">
      <alignment vertical="center" wrapText="1"/>
    </xf>
    <xf numFmtId="0" fontId="0" fillId="8" borderId="11" xfId="0" applyFill="1" applyBorder="1" applyAlignment="1">
      <alignment vertical="center"/>
    </xf>
    <xf numFmtId="0" fontId="0" fillId="8" borderId="5" xfId="0" applyFill="1" applyBorder="1" applyAlignment="1">
      <alignment horizontal="center" vertical="center"/>
    </xf>
    <xf numFmtId="0" fontId="0" fillId="8" borderId="3" xfId="0" applyFill="1" applyBorder="1" applyAlignment="1">
      <alignment vertical="center"/>
    </xf>
    <xf numFmtId="0" fontId="0" fillId="10" borderId="3" xfId="0" applyFill="1" applyBorder="1"/>
    <xf numFmtId="14" fontId="0" fillId="10" borderId="3" xfId="0" applyNumberFormat="1" applyFill="1" applyBorder="1"/>
    <xf numFmtId="0" fontId="2" fillId="10" borderId="3" xfId="0" applyFont="1" applyFill="1" applyBorder="1"/>
    <xf numFmtId="14" fontId="2" fillId="10" borderId="3" xfId="0" applyNumberFormat="1" applyFont="1" applyFill="1" applyBorder="1"/>
    <xf numFmtId="14" fontId="2" fillId="10" borderId="3" xfId="0" applyNumberFormat="1" applyFont="1" applyFill="1" applyBorder="1" applyAlignment="1">
      <alignment wrapText="1"/>
    </xf>
    <xf numFmtId="0" fontId="2" fillId="10" borderId="10" xfId="0" applyFont="1" applyFill="1" applyBorder="1"/>
    <xf numFmtId="47" fontId="0" fillId="0" borderId="0" xfId="0" applyNumberFormat="1"/>
    <xf numFmtId="0" fontId="0" fillId="0" borderId="20" xfId="0" applyBorder="1"/>
    <xf numFmtId="0" fontId="0" fillId="0" borderId="21" xfId="0" applyBorder="1"/>
    <xf numFmtId="0" fontId="0" fillId="14" borderId="3" xfId="0" applyFill="1" applyBorder="1"/>
    <xf numFmtId="14" fontId="0" fillId="5" borderId="3" xfId="0" applyNumberFormat="1" applyFill="1" applyBorder="1"/>
    <xf numFmtId="14" fontId="0" fillId="0" borderId="12" xfId="0" applyNumberFormat="1" applyBorder="1"/>
    <xf numFmtId="14" fontId="0" fillId="0" borderId="22" xfId="0" applyNumberFormat="1" applyBorder="1"/>
    <xf numFmtId="14" fontId="0" fillId="0" borderId="21" xfId="0" applyNumberFormat="1" applyBorder="1"/>
    <xf numFmtId="0" fontId="0" fillId="0" borderId="3" xfId="0" applyBorder="1"/>
    <xf numFmtId="14" fontId="0" fillId="0" borderId="5" xfId="0" applyNumberFormat="1" applyBorder="1"/>
    <xf numFmtId="14" fontId="0" fillId="0" borderId="18" xfId="0" applyNumberFormat="1" applyBorder="1"/>
    <xf numFmtId="0" fontId="2" fillId="14" borderId="5" xfId="0" applyFont="1" applyFill="1" applyBorder="1"/>
    <xf numFmtId="14" fontId="2" fillId="14" borderId="5" xfId="0" applyNumberFormat="1" applyFont="1" applyFill="1" applyBorder="1"/>
    <xf numFmtId="0" fontId="2" fillId="13" borderId="10" xfId="0" applyFont="1" applyFill="1" applyBorder="1"/>
    <xf numFmtId="0" fontId="0" fillId="13" borderId="0" xfId="0" applyFill="1"/>
    <xf numFmtId="0" fontId="2" fillId="7" borderId="0" xfId="0" applyFont="1" applyFill="1" applyAlignment="1">
      <alignment horizontal="center" vertical="center"/>
    </xf>
    <xf numFmtId="0" fontId="2" fillId="7" borderId="0" xfId="0" applyFont="1" applyFill="1" applyAlignment="1">
      <alignment horizontal="center" vertical="center" wrapText="1"/>
    </xf>
    <xf numFmtId="0" fontId="3" fillId="15" borderId="23" xfId="0" applyFont="1" applyFill="1" applyBorder="1" applyAlignment="1">
      <alignment horizontal="center" vertical="center" wrapText="1"/>
    </xf>
    <xf numFmtId="0" fontId="3" fillId="15" borderId="24" xfId="0" applyFont="1" applyFill="1" applyBorder="1" applyAlignment="1">
      <alignment horizontal="center" vertical="center" wrapText="1"/>
    </xf>
    <xf numFmtId="0" fontId="3" fillId="15" borderId="9" xfId="0" applyFont="1" applyFill="1" applyBorder="1" applyAlignment="1">
      <alignment horizontal="center" vertical="center" wrapText="1"/>
    </xf>
    <xf numFmtId="166" fontId="0" fillId="0" borderId="0" xfId="0" applyNumberFormat="1"/>
    <xf numFmtId="0" fontId="0" fillId="0" borderId="0" xfId="0" applyAlignment="1">
      <alignment horizontal="left" vertical="center"/>
    </xf>
    <xf numFmtId="0" fontId="0" fillId="2" borderId="3" xfId="0" applyFill="1" applyBorder="1"/>
    <xf numFmtId="14" fontId="2" fillId="14" borderId="3" xfId="0" applyNumberFormat="1" applyFont="1" applyFill="1" applyBorder="1"/>
    <xf numFmtId="0" fontId="0" fillId="13" borderId="0" xfId="0" applyFill="1" applyAlignment="1">
      <alignment wrapText="1"/>
    </xf>
    <xf numFmtId="0" fontId="19" fillId="0" borderId="3" xfId="0" applyFont="1" applyBorder="1" applyAlignment="1">
      <alignment horizontal="left" vertical="center" wrapText="1"/>
    </xf>
    <xf numFmtId="0" fontId="0" fillId="0" borderId="3" xfId="0" applyBorder="1" applyAlignment="1">
      <alignment horizontal="left" vertical="top" wrapText="1"/>
    </xf>
    <xf numFmtId="0" fontId="0" fillId="12" borderId="3" xfId="0" applyFill="1" applyBorder="1" applyAlignment="1">
      <alignment horizontal="left" vertical="top" wrapText="1"/>
    </xf>
    <xf numFmtId="0" fontId="0" fillId="0" borderId="5" xfId="0" applyBorder="1" applyAlignment="1">
      <alignment horizontal="left" vertical="top" wrapText="1"/>
    </xf>
    <xf numFmtId="0" fontId="0" fillId="0" borderId="18" xfId="0" applyBorder="1" applyAlignment="1">
      <alignment horizontal="left" vertical="top" wrapText="1"/>
    </xf>
    <xf numFmtId="0" fontId="2" fillId="10" borderId="9" xfId="0" applyFont="1" applyFill="1" applyBorder="1" applyAlignment="1">
      <alignment horizontal="center"/>
    </xf>
    <xf numFmtId="0" fontId="2" fillId="10" borderId="0" xfId="0" applyFont="1" applyFill="1" applyAlignment="1">
      <alignment horizontal="center"/>
    </xf>
    <xf numFmtId="0" fontId="4" fillId="0" borderId="0" xfId="2" applyFont="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0" fillId="0" borderId="0" xfId="0" applyAlignment="1">
      <alignment horizontal="left" vertical="center" wrapText="1"/>
    </xf>
    <xf numFmtId="0" fontId="0" fillId="0" borderId="19" xfId="0" applyBorder="1" applyAlignment="1">
      <alignment horizontal="left" vertical="center" wrapText="1"/>
    </xf>
    <xf numFmtId="14" fontId="0" fillId="2" borderId="3" xfId="0" applyNumberFormat="1" applyFill="1" applyBorder="1" applyAlignment="1">
      <alignment horizontal="center" vertical="center" wrapText="1"/>
    </xf>
    <xf numFmtId="14" fontId="0" fillId="2" borderId="3" xfId="0" applyNumberFormat="1" applyFill="1" applyBorder="1" applyAlignment="1">
      <alignment horizontal="center" vertical="center"/>
    </xf>
  </cellXfs>
  <cellStyles count="7">
    <cellStyle name="Currency" xfId="1" builtinId="4"/>
    <cellStyle name="Normal" xfId="0" builtinId="0"/>
    <cellStyle name="Normal 3 2 3" xfId="2" xr:uid="{CC07113C-E558-435E-9016-EB239626F0E5}"/>
    <cellStyle name="Normal 3 2 3 14" xfId="5" xr:uid="{7C2A0878-AF3D-4942-830C-84D311718260}"/>
    <cellStyle name="Normal 3 2 4" xfId="4" xr:uid="{263294D8-FF08-4208-98BA-E1CF83B295BD}"/>
    <cellStyle name="Normal 3 2 4 11" xfId="6" xr:uid="{E3763EBE-4369-4E6A-95FA-2FB10265A79B}"/>
    <cellStyle name="Normal_Lost Tree South and West New Fund Information2" xfId="3" xr:uid="{31CBBA2E-91DE-4DF0-848C-D7C76668E2A1}"/>
  </cellStyles>
  <dxfs count="20">
    <dxf>
      <fill>
        <patternFill>
          <bgColor theme="0" tint="-0.34998626667073579"/>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573649</xdr:colOff>
      <xdr:row>13</xdr:row>
      <xdr:rowOff>101881</xdr:rowOff>
    </xdr:from>
    <xdr:to>
      <xdr:col>10</xdr:col>
      <xdr:colOff>323011</xdr:colOff>
      <xdr:row>23</xdr:row>
      <xdr:rowOff>128870</xdr:rowOff>
    </xdr:to>
    <xdr:cxnSp macro="">
      <xdr:nvCxnSpPr>
        <xdr:cNvPr id="88" name="Connector: Elbow 87">
          <a:extLst>
            <a:ext uri="{FF2B5EF4-FFF2-40B4-BE49-F238E27FC236}">
              <a16:creationId xmlns:a16="http://schemas.microsoft.com/office/drawing/2014/main" id="{82BEF1AA-0F18-4370-8818-B7C2AAC99DAF}"/>
            </a:ext>
          </a:extLst>
        </xdr:cNvPr>
        <xdr:cNvCxnSpPr/>
      </xdr:nvCxnSpPr>
      <xdr:spPr>
        <a:xfrm rot="16200000" flipH="1">
          <a:off x="12449642" y="2604436"/>
          <a:ext cx="1847945" cy="157732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7677150</xdr:colOff>
      <xdr:row>13</xdr:row>
      <xdr:rowOff>63503</xdr:rowOff>
    </xdr:from>
    <xdr:to>
      <xdr:col>1</xdr:col>
      <xdr:colOff>263527</xdr:colOff>
      <xdr:row>19</xdr:row>
      <xdr:rowOff>25403</xdr:rowOff>
    </xdr:to>
    <xdr:cxnSp macro="">
      <xdr:nvCxnSpPr>
        <xdr:cNvPr id="83" name="Connector: Elbow 82">
          <a:extLst>
            <a:ext uri="{FF2B5EF4-FFF2-40B4-BE49-F238E27FC236}">
              <a16:creationId xmlns:a16="http://schemas.microsoft.com/office/drawing/2014/main" id="{BA2C6A00-4428-40A1-9A1B-951D9553A40B}"/>
            </a:ext>
          </a:extLst>
        </xdr:cNvPr>
        <xdr:cNvCxnSpPr/>
      </xdr:nvCxnSpPr>
      <xdr:spPr>
        <a:xfrm rot="5400000">
          <a:off x="7623176" y="2470152"/>
          <a:ext cx="1047750" cy="93980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5934075</xdr:colOff>
      <xdr:row>7</xdr:row>
      <xdr:rowOff>152372</xdr:rowOff>
    </xdr:from>
    <xdr:to>
      <xdr:col>9</xdr:col>
      <xdr:colOff>350942</xdr:colOff>
      <xdr:row>13</xdr:row>
      <xdr:rowOff>85529</xdr:rowOff>
    </xdr:to>
    <xdr:pic>
      <xdr:nvPicPr>
        <xdr:cNvPr id="2" name="Picture 1">
          <a:extLst>
            <a:ext uri="{FF2B5EF4-FFF2-40B4-BE49-F238E27FC236}">
              <a16:creationId xmlns:a16="http://schemas.microsoft.com/office/drawing/2014/main" id="{E81132A5-E6E6-0F0C-2789-F02922BD419A}"/>
            </a:ext>
          </a:extLst>
        </xdr:cNvPr>
        <xdr:cNvPicPr>
          <a:picLocks noChangeAspect="1"/>
        </xdr:cNvPicPr>
      </xdr:nvPicPr>
      <xdr:blipFill>
        <a:blip xmlns:r="http://schemas.openxmlformats.org/officeDocument/2006/relationships" r:embed="rId1"/>
        <a:stretch>
          <a:fillRect/>
        </a:stretch>
      </xdr:blipFill>
      <xdr:spPr>
        <a:xfrm>
          <a:off x="5934075" y="1419197"/>
          <a:ext cx="7650267" cy="1022182"/>
        </a:xfrm>
        <a:prstGeom prst="rect">
          <a:avLst/>
        </a:prstGeom>
      </xdr:spPr>
    </xdr:pic>
    <xdr:clientData/>
  </xdr:twoCellAnchor>
  <xdr:twoCellAnchor editAs="oneCell">
    <xdr:from>
      <xdr:col>0</xdr:col>
      <xdr:colOff>3790950</xdr:colOff>
      <xdr:row>35</xdr:row>
      <xdr:rowOff>0</xdr:rowOff>
    </xdr:from>
    <xdr:to>
      <xdr:col>4</xdr:col>
      <xdr:colOff>444500</xdr:colOff>
      <xdr:row>43</xdr:row>
      <xdr:rowOff>115109</xdr:rowOff>
    </xdr:to>
    <xdr:pic>
      <xdr:nvPicPr>
        <xdr:cNvPr id="3" name="Picture 2">
          <a:extLst>
            <a:ext uri="{FF2B5EF4-FFF2-40B4-BE49-F238E27FC236}">
              <a16:creationId xmlns:a16="http://schemas.microsoft.com/office/drawing/2014/main" id="{6A104FBD-BBE8-49A9-9DCB-D7D08C8E5566}"/>
            </a:ext>
          </a:extLst>
        </xdr:cNvPr>
        <xdr:cNvPicPr>
          <a:picLocks noChangeAspect="1"/>
        </xdr:cNvPicPr>
      </xdr:nvPicPr>
      <xdr:blipFill>
        <a:blip xmlns:r="http://schemas.openxmlformats.org/officeDocument/2006/relationships" r:embed="rId2"/>
        <a:stretch>
          <a:fillRect/>
        </a:stretch>
      </xdr:blipFill>
      <xdr:spPr>
        <a:xfrm>
          <a:off x="3790950" y="6334125"/>
          <a:ext cx="6835775" cy="1562909"/>
        </a:xfrm>
        <a:prstGeom prst="rect">
          <a:avLst/>
        </a:prstGeom>
      </xdr:spPr>
    </xdr:pic>
    <xdr:clientData/>
  </xdr:twoCellAnchor>
  <xdr:twoCellAnchor>
    <xdr:from>
      <xdr:col>0</xdr:col>
      <xdr:colOff>8343900</xdr:colOff>
      <xdr:row>1</xdr:row>
      <xdr:rowOff>104776</xdr:rowOff>
    </xdr:from>
    <xdr:to>
      <xdr:col>5</xdr:col>
      <xdr:colOff>361950</xdr:colOff>
      <xdr:row>6</xdr:row>
      <xdr:rowOff>101601</xdr:rowOff>
    </xdr:to>
    <xdr:sp macro="" textlink="">
      <xdr:nvSpPr>
        <xdr:cNvPr id="5" name="TextBox 4">
          <a:extLst>
            <a:ext uri="{FF2B5EF4-FFF2-40B4-BE49-F238E27FC236}">
              <a16:creationId xmlns:a16="http://schemas.microsoft.com/office/drawing/2014/main" id="{9C510D0F-597A-5C44-34A4-7DB1F7E9FE80}"/>
            </a:ext>
          </a:extLst>
        </xdr:cNvPr>
        <xdr:cNvSpPr txBox="1"/>
      </xdr:nvSpPr>
      <xdr:spPr>
        <a:xfrm>
          <a:off x="8343900" y="285751"/>
          <a:ext cx="2809875" cy="901700"/>
        </a:xfrm>
        <a:prstGeom prst="flowChartDecision">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a:t>Does the file</a:t>
          </a:r>
          <a:r>
            <a:rPr lang="en-US" sz="1100" baseline="0"/>
            <a:t> include this Fund Tab?</a:t>
          </a:r>
          <a:endParaRPr lang="en-US" sz="1100"/>
        </a:p>
      </xdr:txBody>
    </xdr:sp>
    <xdr:clientData/>
  </xdr:twoCellAnchor>
  <xdr:twoCellAnchor>
    <xdr:from>
      <xdr:col>3</xdr:col>
      <xdr:colOff>180975</xdr:colOff>
      <xdr:row>6</xdr:row>
      <xdr:rowOff>92075</xdr:rowOff>
    </xdr:from>
    <xdr:to>
      <xdr:col>3</xdr:col>
      <xdr:colOff>183409</xdr:colOff>
      <xdr:row>7</xdr:row>
      <xdr:rowOff>152372</xdr:rowOff>
    </xdr:to>
    <xdr:cxnSp macro="">
      <xdr:nvCxnSpPr>
        <xdr:cNvPr id="7" name="Straight Arrow Connector 6">
          <a:extLst>
            <a:ext uri="{FF2B5EF4-FFF2-40B4-BE49-F238E27FC236}">
              <a16:creationId xmlns:a16="http://schemas.microsoft.com/office/drawing/2014/main" id="{D3C01B68-B0B0-4034-71D4-B6E85AAD49C6}"/>
            </a:ext>
          </a:extLst>
        </xdr:cNvPr>
        <xdr:cNvCxnSpPr>
          <a:endCxn id="2" idx="0"/>
        </xdr:cNvCxnSpPr>
      </xdr:nvCxnSpPr>
      <xdr:spPr>
        <a:xfrm>
          <a:off x="9756775" y="1177925"/>
          <a:ext cx="2434" cy="2412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7950200</xdr:colOff>
      <xdr:row>15</xdr:row>
      <xdr:rowOff>142875</xdr:rowOff>
    </xdr:from>
    <xdr:to>
      <xdr:col>1</xdr:col>
      <xdr:colOff>28575</xdr:colOff>
      <xdr:row>17</xdr:row>
      <xdr:rowOff>19050</xdr:rowOff>
    </xdr:to>
    <xdr:sp macro="" textlink="">
      <xdr:nvSpPr>
        <xdr:cNvPr id="34" name="TextBox 33">
          <a:extLst>
            <a:ext uri="{FF2B5EF4-FFF2-40B4-BE49-F238E27FC236}">
              <a16:creationId xmlns:a16="http://schemas.microsoft.com/office/drawing/2014/main" id="{08A16BAE-CCCD-85F1-1CB7-F10768A9DD79}"/>
            </a:ext>
          </a:extLst>
        </xdr:cNvPr>
        <xdr:cNvSpPr txBox="1"/>
      </xdr:nvSpPr>
      <xdr:spPr>
        <a:xfrm>
          <a:off x="7950200" y="2857500"/>
          <a:ext cx="431800" cy="2381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8</xdr:col>
      <xdr:colOff>511548</xdr:colOff>
      <xdr:row>17</xdr:row>
      <xdr:rowOff>167901</xdr:rowOff>
    </xdr:from>
    <xdr:to>
      <xdr:col>9</xdr:col>
      <xdr:colOff>355973</xdr:colOff>
      <xdr:row>19</xdr:row>
      <xdr:rowOff>20730</xdr:rowOff>
    </xdr:to>
    <xdr:sp macro="" textlink="">
      <xdr:nvSpPr>
        <xdr:cNvPr id="35" name="TextBox 34">
          <a:extLst>
            <a:ext uri="{FF2B5EF4-FFF2-40B4-BE49-F238E27FC236}">
              <a16:creationId xmlns:a16="http://schemas.microsoft.com/office/drawing/2014/main" id="{52F3E78F-AEF3-D6FE-8823-F09D2D0AA108}"/>
            </a:ext>
          </a:extLst>
        </xdr:cNvPr>
        <xdr:cNvSpPr txBox="1"/>
      </xdr:nvSpPr>
      <xdr:spPr>
        <a:xfrm>
          <a:off x="13132173" y="3263526"/>
          <a:ext cx="453745" cy="217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endParaRPr lang="en-US" sz="1100"/>
        </a:p>
      </xdr:txBody>
    </xdr:sp>
    <xdr:clientData/>
  </xdr:twoCellAnchor>
  <xdr:twoCellAnchor>
    <xdr:from>
      <xdr:col>0</xdr:col>
      <xdr:colOff>6867525</xdr:colOff>
      <xdr:row>19</xdr:row>
      <xdr:rowOff>15875</xdr:rowOff>
    </xdr:from>
    <xdr:to>
      <xdr:col>1</xdr:col>
      <xdr:colOff>114300</xdr:colOff>
      <xdr:row>23</xdr:row>
      <xdr:rowOff>92075</xdr:rowOff>
    </xdr:to>
    <xdr:sp macro="" textlink="">
      <xdr:nvSpPr>
        <xdr:cNvPr id="36" name="TextBox 35">
          <a:extLst>
            <a:ext uri="{FF2B5EF4-FFF2-40B4-BE49-F238E27FC236}">
              <a16:creationId xmlns:a16="http://schemas.microsoft.com/office/drawing/2014/main" id="{2482DE7F-0623-F55F-2825-FF8B3389AAAB}"/>
            </a:ext>
          </a:extLst>
        </xdr:cNvPr>
        <xdr:cNvSpPr txBox="1"/>
      </xdr:nvSpPr>
      <xdr:spPr>
        <a:xfrm>
          <a:off x="6867525" y="3454400"/>
          <a:ext cx="1600200" cy="800100"/>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Fund Setup. Please copy the tab from the file and paste it into the "Fund" tab here.</a:t>
          </a:r>
        </a:p>
      </xdr:txBody>
    </xdr:sp>
    <xdr:clientData/>
  </xdr:twoCellAnchor>
  <xdr:twoCellAnchor>
    <xdr:from>
      <xdr:col>0</xdr:col>
      <xdr:colOff>7199105</xdr:colOff>
      <xdr:row>23</xdr:row>
      <xdr:rowOff>92075</xdr:rowOff>
    </xdr:from>
    <xdr:to>
      <xdr:col>0</xdr:col>
      <xdr:colOff>7665348</xdr:colOff>
      <xdr:row>25</xdr:row>
      <xdr:rowOff>71783</xdr:rowOff>
    </xdr:to>
    <xdr:cxnSp macro="">
      <xdr:nvCxnSpPr>
        <xdr:cNvPr id="47" name="Straight Arrow Connector 46">
          <a:extLst>
            <a:ext uri="{FF2B5EF4-FFF2-40B4-BE49-F238E27FC236}">
              <a16:creationId xmlns:a16="http://schemas.microsoft.com/office/drawing/2014/main" id="{01442805-3A74-4647-70E0-7EAD61358432}"/>
            </a:ext>
          </a:extLst>
        </xdr:cNvPr>
        <xdr:cNvCxnSpPr>
          <a:stCxn id="36" idx="2"/>
          <a:endCxn id="49" idx="0"/>
        </xdr:cNvCxnSpPr>
      </xdr:nvCxnSpPr>
      <xdr:spPr>
        <a:xfrm flipH="1">
          <a:off x="7199105" y="4294118"/>
          <a:ext cx="466243" cy="3441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5210174</xdr:colOff>
      <xdr:row>25</xdr:row>
      <xdr:rowOff>71783</xdr:rowOff>
    </xdr:from>
    <xdr:to>
      <xdr:col>2</xdr:col>
      <xdr:colOff>231774</xdr:colOff>
      <xdr:row>33</xdr:row>
      <xdr:rowOff>82826</xdr:rowOff>
    </xdr:to>
    <xdr:sp macro="" textlink="">
      <xdr:nvSpPr>
        <xdr:cNvPr id="49" name="Flowchart: Decision 48">
          <a:extLst>
            <a:ext uri="{FF2B5EF4-FFF2-40B4-BE49-F238E27FC236}">
              <a16:creationId xmlns:a16="http://schemas.microsoft.com/office/drawing/2014/main" id="{ABB339D6-32BC-A6E2-43C5-ED0D4F790810}"/>
            </a:ext>
          </a:extLst>
        </xdr:cNvPr>
        <xdr:cNvSpPr/>
      </xdr:nvSpPr>
      <xdr:spPr>
        <a:xfrm>
          <a:off x="5210174" y="4638261"/>
          <a:ext cx="3977861" cy="1468782"/>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i="0">
              <a:solidFill>
                <a:schemeClr val="tx1"/>
              </a:solidFill>
            </a:rPr>
            <a:t>Does the file also include this tab (with tables that have "Upper Tier" and "Lower Tier" headers)?</a:t>
          </a:r>
        </a:p>
      </xdr:txBody>
    </xdr:sp>
    <xdr:clientData/>
  </xdr:twoCellAnchor>
  <xdr:twoCellAnchor>
    <xdr:from>
      <xdr:col>0</xdr:col>
      <xdr:colOff>7199105</xdr:colOff>
      <xdr:row>33</xdr:row>
      <xdr:rowOff>82826</xdr:rowOff>
    </xdr:from>
    <xdr:to>
      <xdr:col>0</xdr:col>
      <xdr:colOff>7203247</xdr:colOff>
      <xdr:row>35</xdr:row>
      <xdr:rowOff>0</xdr:rowOff>
    </xdr:to>
    <xdr:cxnSp macro="">
      <xdr:nvCxnSpPr>
        <xdr:cNvPr id="70" name="Straight Arrow Connector 69">
          <a:extLst>
            <a:ext uri="{FF2B5EF4-FFF2-40B4-BE49-F238E27FC236}">
              <a16:creationId xmlns:a16="http://schemas.microsoft.com/office/drawing/2014/main" id="{1C4FB2C9-EADB-DE92-108A-CA71A366DD2F}"/>
            </a:ext>
          </a:extLst>
        </xdr:cNvPr>
        <xdr:cNvCxnSpPr>
          <a:stCxn id="49" idx="2"/>
          <a:endCxn id="3" idx="0"/>
        </xdr:cNvCxnSpPr>
      </xdr:nvCxnSpPr>
      <xdr:spPr>
        <a:xfrm>
          <a:off x="7199105" y="6107043"/>
          <a:ext cx="4142" cy="28160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4797425</xdr:colOff>
      <xdr:row>43</xdr:row>
      <xdr:rowOff>114302</xdr:rowOff>
    </xdr:from>
    <xdr:to>
      <xdr:col>0</xdr:col>
      <xdr:colOff>5743577</xdr:colOff>
      <xdr:row>49</xdr:row>
      <xdr:rowOff>76202</xdr:rowOff>
    </xdr:to>
    <xdr:cxnSp macro="">
      <xdr:nvCxnSpPr>
        <xdr:cNvPr id="78" name="Connector: Elbow 77">
          <a:extLst>
            <a:ext uri="{FF2B5EF4-FFF2-40B4-BE49-F238E27FC236}">
              <a16:creationId xmlns:a16="http://schemas.microsoft.com/office/drawing/2014/main" id="{B1CDE9D8-3540-4CA5-95EA-16F9BA85C3F0}"/>
            </a:ext>
          </a:extLst>
        </xdr:cNvPr>
        <xdr:cNvCxnSpPr/>
      </xdr:nvCxnSpPr>
      <xdr:spPr>
        <a:xfrm rot="5400000">
          <a:off x="4746626" y="7947026"/>
          <a:ext cx="1047750" cy="94615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276230</xdr:colOff>
      <xdr:row>43</xdr:row>
      <xdr:rowOff>123827</xdr:rowOff>
    </xdr:from>
    <xdr:to>
      <xdr:col>2</xdr:col>
      <xdr:colOff>568327</xdr:colOff>
      <xdr:row>49</xdr:row>
      <xdr:rowOff>6355</xdr:rowOff>
    </xdr:to>
    <xdr:cxnSp macro="">
      <xdr:nvCxnSpPr>
        <xdr:cNvPr id="81" name="Connector: Elbow 80">
          <a:extLst>
            <a:ext uri="{FF2B5EF4-FFF2-40B4-BE49-F238E27FC236}">
              <a16:creationId xmlns:a16="http://schemas.microsoft.com/office/drawing/2014/main" id="{6807F11C-8477-4578-83C5-74F47CD62BAA}"/>
            </a:ext>
          </a:extLst>
        </xdr:cNvPr>
        <xdr:cNvCxnSpPr/>
      </xdr:nvCxnSpPr>
      <xdr:spPr>
        <a:xfrm rot="16200000" flipH="1">
          <a:off x="8596315" y="7939092"/>
          <a:ext cx="968378" cy="901697"/>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5083175</xdr:colOff>
      <xdr:row>45</xdr:row>
      <xdr:rowOff>133350</xdr:rowOff>
    </xdr:from>
    <xdr:to>
      <xdr:col>0</xdr:col>
      <xdr:colOff>5514975</xdr:colOff>
      <xdr:row>47</xdr:row>
      <xdr:rowOff>19050</xdr:rowOff>
    </xdr:to>
    <xdr:sp macro="" textlink="">
      <xdr:nvSpPr>
        <xdr:cNvPr id="90" name="TextBox 89">
          <a:extLst>
            <a:ext uri="{FF2B5EF4-FFF2-40B4-BE49-F238E27FC236}">
              <a16:creationId xmlns:a16="http://schemas.microsoft.com/office/drawing/2014/main" id="{F4971A55-0E2D-44C5-A585-B1FB98A437D4}"/>
            </a:ext>
          </a:extLst>
        </xdr:cNvPr>
        <xdr:cNvSpPr txBox="1"/>
      </xdr:nvSpPr>
      <xdr:spPr>
        <a:xfrm>
          <a:off x="5083175" y="8277225"/>
          <a:ext cx="43180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1</xdr:col>
      <xdr:colOff>434975</xdr:colOff>
      <xdr:row>45</xdr:row>
      <xdr:rowOff>158750</xdr:rowOff>
    </xdr:from>
    <xdr:to>
      <xdr:col>2</xdr:col>
      <xdr:colOff>295275</xdr:colOff>
      <xdr:row>47</xdr:row>
      <xdr:rowOff>6350</xdr:rowOff>
    </xdr:to>
    <xdr:sp macro="" textlink="">
      <xdr:nvSpPr>
        <xdr:cNvPr id="91" name="TextBox 90">
          <a:extLst>
            <a:ext uri="{FF2B5EF4-FFF2-40B4-BE49-F238E27FC236}">
              <a16:creationId xmlns:a16="http://schemas.microsoft.com/office/drawing/2014/main" id="{8BC0BD4C-3909-413E-902D-D1E44C7C98B7}"/>
            </a:ext>
          </a:extLst>
        </xdr:cNvPr>
        <xdr:cNvSpPr txBox="1"/>
      </xdr:nvSpPr>
      <xdr:spPr>
        <a:xfrm>
          <a:off x="8788400" y="8302625"/>
          <a:ext cx="4699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pPr algn="ctr"/>
          <a:endParaRPr lang="en-US" sz="1100"/>
        </a:p>
      </xdr:txBody>
    </xdr:sp>
    <xdr:clientData/>
  </xdr:twoCellAnchor>
  <xdr:twoCellAnchor>
    <xdr:from>
      <xdr:col>0</xdr:col>
      <xdr:colOff>3790950</xdr:colOff>
      <xdr:row>49</xdr:row>
      <xdr:rowOff>79374</xdr:rowOff>
    </xdr:from>
    <xdr:to>
      <xdr:col>0</xdr:col>
      <xdr:colOff>5854700</xdr:colOff>
      <xdr:row>57</xdr:row>
      <xdr:rowOff>152400</xdr:rowOff>
    </xdr:to>
    <xdr:sp macro="" textlink="">
      <xdr:nvSpPr>
        <xdr:cNvPr id="92" name="TextBox 91">
          <a:extLst>
            <a:ext uri="{FF2B5EF4-FFF2-40B4-BE49-F238E27FC236}">
              <a16:creationId xmlns:a16="http://schemas.microsoft.com/office/drawing/2014/main" id="{9AC6B388-ED97-4363-895C-DD3EAC2DBADB}"/>
            </a:ext>
          </a:extLst>
        </xdr:cNvPr>
        <xdr:cNvSpPr txBox="1"/>
      </xdr:nvSpPr>
      <xdr:spPr>
        <a:xfrm>
          <a:off x="3790950" y="8947149"/>
          <a:ext cx="2063750" cy="1520826"/>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Property and Fund Setup. </a:t>
          </a:r>
        </a:p>
        <a:p>
          <a:pPr algn="ctr"/>
          <a:endParaRPr lang="en-US" i="1"/>
        </a:p>
        <a:p>
          <a:pPr algn="ctr"/>
          <a:r>
            <a:rPr lang="en-US" i="1"/>
            <a:t>Please copy the tab from the file and paste it into the "Upper Tier" tab here. Then, </a:t>
          </a:r>
          <a:r>
            <a:rPr lang="en-US" sz="1100" b="1" i="1">
              <a:solidFill>
                <a:schemeClr val="dk1"/>
              </a:solidFill>
              <a:effectLst/>
              <a:latin typeface="+mn-lt"/>
              <a:ea typeface="+mn-ea"/>
              <a:cs typeface="+mn-cs"/>
            </a:rPr>
            <a:t>COMPLETE FUND</a:t>
          </a:r>
          <a:r>
            <a:rPr lang="en-US" sz="1100" b="1" i="1" baseline="0">
              <a:solidFill>
                <a:schemeClr val="dk1"/>
              </a:solidFill>
              <a:effectLst/>
              <a:latin typeface="+mn-lt"/>
              <a:ea typeface="+mn-ea"/>
              <a:cs typeface="+mn-cs"/>
            </a:rPr>
            <a:t> SETUP FIRST </a:t>
          </a:r>
          <a:r>
            <a:rPr lang="en-US" i="1"/>
            <a:t>before proceeding with the Property Setup.</a:t>
          </a:r>
        </a:p>
      </xdr:txBody>
    </xdr:sp>
    <xdr:clientData/>
  </xdr:twoCellAnchor>
  <xdr:twoCellAnchor>
    <xdr:from>
      <xdr:col>1</xdr:col>
      <xdr:colOff>180975</xdr:colOff>
      <xdr:row>49</xdr:row>
      <xdr:rowOff>28575</xdr:rowOff>
    </xdr:from>
    <xdr:to>
      <xdr:col>4</xdr:col>
      <xdr:colOff>419100</xdr:colOff>
      <xdr:row>53</xdr:row>
      <xdr:rowOff>104775</xdr:rowOff>
    </xdr:to>
    <xdr:sp macro="" textlink="">
      <xdr:nvSpPr>
        <xdr:cNvPr id="93" name="TextBox 92">
          <a:extLst>
            <a:ext uri="{FF2B5EF4-FFF2-40B4-BE49-F238E27FC236}">
              <a16:creationId xmlns:a16="http://schemas.microsoft.com/office/drawing/2014/main" id="{411A2C1F-9CB5-4A5F-B630-371198710619}"/>
            </a:ext>
          </a:extLst>
        </xdr:cNvPr>
        <xdr:cNvSpPr txBox="1"/>
      </xdr:nvSpPr>
      <xdr:spPr>
        <a:xfrm>
          <a:off x="8534400" y="8896350"/>
          <a:ext cx="2066925" cy="800100"/>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i="1"/>
            <a:t>This is a Fund Setup only case. </a:t>
          </a:r>
        </a:p>
        <a:p>
          <a:pPr algn="ctr"/>
          <a:endParaRPr lang="en-US" i="1"/>
        </a:p>
        <a:p>
          <a:pPr algn="ctr"/>
          <a:r>
            <a:rPr lang="en-US" i="1"/>
            <a:t>Please follow the Fund Setup instructions.</a:t>
          </a:r>
          <a:endParaRPr lang="en-US"/>
        </a:p>
      </xdr:txBody>
    </xdr:sp>
    <xdr:clientData/>
  </xdr:twoCellAnchor>
  <xdr:twoCellAnchor>
    <xdr:from>
      <xdr:col>7</xdr:col>
      <xdr:colOff>163607</xdr:colOff>
      <xdr:row>23</xdr:row>
      <xdr:rowOff>118690</xdr:rowOff>
    </xdr:from>
    <xdr:to>
      <xdr:col>13</xdr:col>
      <xdr:colOff>487457</xdr:colOff>
      <xdr:row>30</xdr:row>
      <xdr:rowOff>118689</xdr:rowOff>
    </xdr:to>
    <xdr:sp macro="" textlink="">
      <xdr:nvSpPr>
        <xdr:cNvPr id="94" name="Flowchart: Decision 93">
          <a:extLst>
            <a:ext uri="{FF2B5EF4-FFF2-40B4-BE49-F238E27FC236}">
              <a16:creationId xmlns:a16="http://schemas.microsoft.com/office/drawing/2014/main" id="{359B5CFF-F8A8-4D56-9794-5318D61FA30C}"/>
            </a:ext>
          </a:extLst>
        </xdr:cNvPr>
        <xdr:cNvSpPr/>
      </xdr:nvSpPr>
      <xdr:spPr>
        <a:xfrm>
          <a:off x="12174912" y="4306889"/>
          <a:ext cx="3979769" cy="127466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i="0">
              <a:solidFill>
                <a:schemeClr val="tx1"/>
              </a:solidFill>
            </a:rPr>
            <a:t>Does the file include this tab (with tables that have "Upper Tier" and "Lower Tier" headers)?</a:t>
          </a:r>
        </a:p>
      </xdr:txBody>
    </xdr:sp>
    <xdr:clientData/>
  </xdr:twoCellAnchor>
  <xdr:twoCellAnchor>
    <xdr:from>
      <xdr:col>10</xdr:col>
      <xdr:colOff>322357</xdr:colOff>
      <xdr:row>30</xdr:row>
      <xdr:rowOff>121864</xdr:rowOff>
    </xdr:from>
    <xdr:to>
      <xdr:col>10</xdr:col>
      <xdr:colOff>326651</xdr:colOff>
      <xdr:row>32</xdr:row>
      <xdr:rowOff>87294</xdr:rowOff>
    </xdr:to>
    <xdr:cxnSp macro="">
      <xdr:nvCxnSpPr>
        <xdr:cNvPr id="96" name="Straight Arrow Connector 95">
          <a:extLst>
            <a:ext uri="{FF2B5EF4-FFF2-40B4-BE49-F238E27FC236}">
              <a16:creationId xmlns:a16="http://schemas.microsoft.com/office/drawing/2014/main" id="{B8C56FC1-7193-48E8-6DC2-30002C7B88B7}"/>
            </a:ext>
          </a:extLst>
        </xdr:cNvPr>
        <xdr:cNvCxnSpPr>
          <a:stCxn id="94" idx="2"/>
          <a:endCxn id="97" idx="0"/>
        </xdr:cNvCxnSpPr>
      </xdr:nvCxnSpPr>
      <xdr:spPr>
        <a:xfrm>
          <a:off x="14161622" y="5584732"/>
          <a:ext cx="4294" cy="3296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142501</xdr:colOff>
      <xdr:row>32</xdr:row>
      <xdr:rowOff>90469</xdr:rowOff>
    </xdr:from>
    <xdr:to>
      <xdr:col>15</xdr:col>
      <xdr:colOff>504451</xdr:colOff>
      <xdr:row>40</xdr:row>
      <xdr:rowOff>139777</xdr:rowOff>
    </xdr:to>
    <xdr:pic>
      <xdr:nvPicPr>
        <xdr:cNvPr id="97" name="Picture 96">
          <a:extLst>
            <a:ext uri="{FF2B5EF4-FFF2-40B4-BE49-F238E27FC236}">
              <a16:creationId xmlns:a16="http://schemas.microsoft.com/office/drawing/2014/main" id="{F4842648-DBC5-40A1-BF7D-2E9DEB0E04F2}"/>
            </a:ext>
          </a:extLst>
        </xdr:cNvPr>
        <xdr:cNvPicPr>
          <a:picLocks noChangeAspect="1"/>
        </xdr:cNvPicPr>
      </xdr:nvPicPr>
      <xdr:blipFill>
        <a:blip xmlns:r="http://schemas.openxmlformats.org/officeDocument/2006/relationships" r:embed="rId2"/>
        <a:stretch>
          <a:fillRect/>
        </a:stretch>
      </xdr:blipFill>
      <xdr:spPr>
        <a:xfrm>
          <a:off x="10935166" y="5917528"/>
          <a:ext cx="6461499" cy="1506073"/>
        </a:xfrm>
        <a:prstGeom prst="rect">
          <a:avLst/>
        </a:prstGeom>
      </xdr:spPr>
    </xdr:pic>
    <xdr:clientData/>
  </xdr:twoCellAnchor>
  <xdr:twoCellAnchor>
    <xdr:from>
      <xdr:col>7</xdr:col>
      <xdr:colOff>161084</xdr:colOff>
      <xdr:row>40</xdr:row>
      <xdr:rowOff>126067</xdr:rowOff>
    </xdr:from>
    <xdr:to>
      <xdr:col>8</xdr:col>
      <xdr:colOff>491566</xdr:colOff>
      <xdr:row>46</xdr:row>
      <xdr:rowOff>84793</xdr:rowOff>
    </xdr:to>
    <xdr:cxnSp macro="">
      <xdr:nvCxnSpPr>
        <xdr:cNvPr id="127" name="Connector: Elbow 126">
          <a:extLst>
            <a:ext uri="{FF2B5EF4-FFF2-40B4-BE49-F238E27FC236}">
              <a16:creationId xmlns:a16="http://schemas.microsoft.com/office/drawing/2014/main" id="{9793D5DE-1E62-45A5-A6D8-8D2F8ABD1976}"/>
            </a:ext>
          </a:extLst>
        </xdr:cNvPr>
        <xdr:cNvCxnSpPr/>
      </xdr:nvCxnSpPr>
      <xdr:spPr>
        <a:xfrm rot="5400000">
          <a:off x="12116640" y="7465640"/>
          <a:ext cx="1051299" cy="939802"/>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446834</xdr:colOff>
      <xdr:row>42</xdr:row>
      <xdr:rowOff>145115</xdr:rowOff>
    </xdr:from>
    <xdr:to>
      <xdr:col>8</xdr:col>
      <xdr:colOff>262964</xdr:colOff>
      <xdr:row>44</xdr:row>
      <xdr:rowOff>27641</xdr:rowOff>
    </xdr:to>
    <xdr:sp macro="" textlink="">
      <xdr:nvSpPr>
        <xdr:cNvPr id="128" name="TextBox 127">
          <a:extLst>
            <a:ext uri="{FF2B5EF4-FFF2-40B4-BE49-F238E27FC236}">
              <a16:creationId xmlns:a16="http://schemas.microsoft.com/office/drawing/2014/main" id="{DA825217-DD90-4F35-B9FA-09221068F869}"/>
            </a:ext>
          </a:extLst>
        </xdr:cNvPr>
        <xdr:cNvSpPr txBox="1"/>
      </xdr:nvSpPr>
      <xdr:spPr>
        <a:xfrm>
          <a:off x="12458139" y="7793130"/>
          <a:ext cx="425450" cy="24671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a:p>
          <a:endParaRPr lang="en-US" sz="1100"/>
        </a:p>
      </xdr:txBody>
    </xdr:sp>
    <xdr:clientData/>
  </xdr:twoCellAnchor>
  <xdr:twoCellAnchor>
    <xdr:from>
      <xdr:col>5</xdr:col>
      <xdr:colOff>518272</xdr:colOff>
      <xdr:row>46</xdr:row>
      <xdr:rowOff>98052</xdr:rowOff>
    </xdr:from>
    <xdr:to>
      <xdr:col>9</xdr:col>
      <xdr:colOff>144742</xdr:colOff>
      <xdr:row>54</xdr:row>
      <xdr:rowOff>171078</xdr:rowOff>
    </xdr:to>
    <xdr:sp macro="" textlink="">
      <xdr:nvSpPr>
        <xdr:cNvPr id="135" name="TextBox 134">
          <a:extLst>
            <a:ext uri="{FF2B5EF4-FFF2-40B4-BE49-F238E27FC236}">
              <a16:creationId xmlns:a16="http://schemas.microsoft.com/office/drawing/2014/main" id="{2040A0DE-27D6-4DDF-9F46-B6573AA1CD25}"/>
            </a:ext>
          </a:extLst>
        </xdr:cNvPr>
        <xdr:cNvSpPr txBox="1"/>
      </xdr:nvSpPr>
      <xdr:spPr>
        <a:xfrm>
          <a:off x="11310937" y="8474449"/>
          <a:ext cx="2063750" cy="1529791"/>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i="1"/>
            <a:t>This is a Property and Fund Setup. </a:t>
          </a:r>
        </a:p>
        <a:p>
          <a:pPr algn="ctr"/>
          <a:endParaRPr lang="en-US" i="1"/>
        </a:p>
        <a:p>
          <a:pPr algn="ctr"/>
          <a:r>
            <a:rPr lang="en-US" i="1"/>
            <a:t>Please copy the tab from the file and paste it into the "Upper Tier" tab here. Then, </a:t>
          </a:r>
          <a:r>
            <a:rPr lang="en-US" sz="1100" b="1" i="1">
              <a:solidFill>
                <a:schemeClr val="dk1"/>
              </a:solidFill>
              <a:effectLst/>
              <a:latin typeface="+mn-lt"/>
              <a:ea typeface="+mn-ea"/>
              <a:cs typeface="+mn-cs"/>
            </a:rPr>
            <a:t>COMPLETE FUND</a:t>
          </a:r>
          <a:r>
            <a:rPr lang="en-US" sz="1100" b="1" i="1" baseline="0">
              <a:solidFill>
                <a:schemeClr val="dk1"/>
              </a:solidFill>
              <a:effectLst/>
              <a:latin typeface="+mn-lt"/>
              <a:ea typeface="+mn-ea"/>
              <a:cs typeface="+mn-cs"/>
            </a:rPr>
            <a:t> SETUP FIRST </a:t>
          </a:r>
          <a:r>
            <a:rPr lang="en-US" i="1"/>
            <a:t>before proceeding with the Property Setup.</a:t>
          </a:r>
        </a:p>
      </xdr:txBody>
    </xdr:sp>
    <xdr:clientData/>
  </xdr:twoCellAnchor>
  <xdr:twoCellAnchor>
    <xdr:from>
      <xdr:col>12</xdr:col>
      <xdr:colOff>263344</xdr:colOff>
      <xdr:row>40</xdr:row>
      <xdr:rowOff>126066</xdr:rowOff>
    </xdr:from>
    <xdr:to>
      <xdr:col>13</xdr:col>
      <xdr:colOff>555441</xdr:colOff>
      <xdr:row>46</xdr:row>
      <xdr:rowOff>11770</xdr:rowOff>
    </xdr:to>
    <xdr:cxnSp macro="">
      <xdr:nvCxnSpPr>
        <xdr:cNvPr id="136" name="Connector: Elbow 135">
          <a:extLst>
            <a:ext uri="{FF2B5EF4-FFF2-40B4-BE49-F238E27FC236}">
              <a16:creationId xmlns:a16="http://schemas.microsoft.com/office/drawing/2014/main" id="{38E62D8B-8F37-4E64-AD5B-2EBA9BFE9121}"/>
            </a:ext>
          </a:extLst>
        </xdr:cNvPr>
        <xdr:cNvCxnSpPr/>
      </xdr:nvCxnSpPr>
      <xdr:spPr>
        <a:xfrm rot="16200000" flipH="1">
          <a:off x="15282818" y="7448320"/>
          <a:ext cx="978277" cy="901417"/>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422089</xdr:colOff>
      <xdr:row>42</xdr:row>
      <xdr:rowOff>167339</xdr:rowOff>
    </xdr:from>
    <xdr:to>
      <xdr:col>13</xdr:col>
      <xdr:colOff>282389</xdr:colOff>
      <xdr:row>44</xdr:row>
      <xdr:rowOff>11765</xdr:rowOff>
    </xdr:to>
    <xdr:sp macro="" textlink="">
      <xdr:nvSpPr>
        <xdr:cNvPr id="137" name="TextBox 136">
          <a:extLst>
            <a:ext uri="{FF2B5EF4-FFF2-40B4-BE49-F238E27FC236}">
              <a16:creationId xmlns:a16="http://schemas.microsoft.com/office/drawing/2014/main" id="{18FA0315-2B10-4D2A-B630-77A5EE31A903}"/>
            </a:ext>
          </a:extLst>
        </xdr:cNvPr>
        <xdr:cNvSpPr txBox="1"/>
      </xdr:nvSpPr>
      <xdr:spPr>
        <a:xfrm>
          <a:off x="15479993" y="7815354"/>
          <a:ext cx="469620" cy="208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a:t>
          </a:r>
        </a:p>
        <a:p>
          <a:pPr algn="ctr"/>
          <a:endParaRPr lang="en-US" sz="1100"/>
        </a:p>
      </xdr:txBody>
    </xdr:sp>
    <xdr:clientData/>
  </xdr:twoCellAnchor>
  <xdr:twoCellAnchor>
    <xdr:from>
      <xdr:col>12</xdr:col>
      <xdr:colOff>161085</xdr:colOff>
      <xdr:row>66</xdr:row>
      <xdr:rowOff>16807</xdr:rowOff>
    </xdr:from>
    <xdr:to>
      <xdr:col>15</xdr:col>
      <xdr:colOff>411910</xdr:colOff>
      <xdr:row>72</xdr:row>
      <xdr:rowOff>105055</xdr:rowOff>
    </xdr:to>
    <xdr:sp macro="" textlink="">
      <xdr:nvSpPr>
        <xdr:cNvPr id="138" name="TextBox 137">
          <a:extLst>
            <a:ext uri="{FF2B5EF4-FFF2-40B4-BE49-F238E27FC236}">
              <a16:creationId xmlns:a16="http://schemas.microsoft.com/office/drawing/2014/main" id="{34843639-2128-4855-81C7-72917E1B1EDF}"/>
            </a:ext>
          </a:extLst>
        </xdr:cNvPr>
        <xdr:cNvSpPr txBox="1"/>
      </xdr:nvSpPr>
      <xdr:spPr>
        <a:xfrm>
          <a:off x="15218989" y="12035116"/>
          <a:ext cx="2078785" cy="1180821"/>
        </a:xfrm>
        <a:prstGeom prst="rect">
          <a:avLst/>
        </a:prstGeom>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i="1"/>
            <a:t>This is a Property Setup only case. You are currently in the wrong template. </a:t>
          </a:r>
        </a:p>
        <a:p>
          <a:pPr algn="ctr"/>
          <a:endParaRPr lang="en-US" i="1"/>
        </a:p>
        <a:p>
          <a:pPr algn="ctr"/>
          <a:r>
            <a:rPr lang="en-US" i="1"/>
            <a:t>Please use the NW Property Setup Template.</a:t>
          </a:r>
        </a:p>
      </xdr:txBody>
    </xdr:sp>
    <xdr:clientData/>
  </xdr:twoCellAnchor>
  <xdr:twoCellAnchor>
    <xdr:from>
      <xdr:col>11</xdr:col>
      <xdr:colOff>416390</xdr:colOff>
      <xdr:row>46</xdr:row>
      <xdr:rowOff>14008</xdr:rowOff>
    </xdr:from>
    <xdr:to>
      <xdr:col>16</xdr:col>
      <xdr:colOff>91700</xdr:colOff>
      <xdr:row>51</xdr:row>
      <xdr:rowOff>6350</xdr:rowOff>
    </xdr:to>
    <xdr:sp macro="" textlink="">
      <xdr:nvSpPr>
        <xdr:cNvPr id="139" name="Flowchart: Decision 138">
          <a:extLst>
            <a:ext uri="{FF2B5EF4-FFF2-40B4-BE49-F238E27FC236}">
              <a16:creationId xmlns:a16="http://schemas.microsoft.com/office/drawing/2014/main" id="{45083F11-BEDE-42C7-88CA-3D1266EC07CA}"/>
            </a:ext>
          </a:extLst>
        </xdr:cNvPr>
        <xdr:cNvSpPr/>
      </xdr:nvSpPr>
      <xdr:spPr>
        <a:xfrm>
          <a:off x="14864975" y="8390405"/>
          <a:ext cx="2721909" cy="902820"/>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i="0">
              <a:solidFill>
                <a:schemeClr val="tx1"/>
              </a:solidFill>
            </a:rPr>
            <a:t>Does the file include this Property</a:t>
          </a:r>
          <a:r>
            <a:rPr lang="en-US" i="0" baseline="0">
              <a:solidFill>
                <a:schemeClr val="tx1"/>
              </a:solidFill>
            </a:rPr>
            <a:t> </a:t>
          </a:r>
          <a:r>
            <a:rPr lang="en-US" i="0">
              <a:solidFill>
                <a:schemeClr val="tx1"/>
              </a:solidFill>
            </a:rPr>
            <a:t>tab?</a:t>
          </a:r>
        </a:p>
      </xdr:txBody>
    </xdr:sp>
    <xdr:clientData/>
  </xdr:twoCellAnchor>
  <xdr:twoCellAnchor editAs="oneCell">
    <xdr:from>
      <xdr:col>9</xdr:col>
      <xdr:colOff>115886</xdr:colOff>
      <xdr:row>55</xdr:row>
      <xdr:rowOff>178921</xdr:rowOff>
    </xdr:from>
    <xdr:to>
      <xdr:col>18</xdr:col>
      <xdr:colOff>441230</xdr:colOff>
      <xdr:row>64</xdr:row>
      <xdr:rowOff>3062</xdr:rowOff>
    </xdr:to>
    <xdr:pic>
      <xdr:nvPicPr>
        <xdr:cNvPr id="140" name="Picture 139">
          <a:extLst>
            <a:ext uri="{FF2B5EF4-FFF2-40B4-BE49-F238E27FC236}">
              <a16:creationId xmlns:a16="http://schemas.microsoft.com/office/drawing/2014/main" id="{B9EFBA98-39F6-413B-A4F3-E4E3327985D9}"/>
            </a:ext>
          </a:extLst>
        </xdr:cNvPr>
        <xdr:cNvPicPr>
          <a:picLocks noChangeAspect="1"/>
        </xdr:cNvPicPr>
      </xdr:nvPicPr>
      <xdr:blipFill>
        <a:blip xmlns:r="http://schemas.openxmlformats.org/officeDocument/2006/relationships" r:embed="rId3"/>
        <a:stretch>
          <a:fillRect/>
        </a:stretch>
      </xdr:blipFill>
      <xdr:spPr>
        <a:xfrm>
          <a:off x="13345831" y="10194178"/>
          <a:ext cx="5809223" cy="1458706"/>
        </a:xfrm>
        <a:prstGeom prst="rect">
          <a:avLst/>
        </a:prstGeom>
      </xdr:spPr>
    </xdr:pic>
    <xdr:clientData/>
  </xdr:twoCellAnchor>
  <xdr:twoCellAnchor>
    <xdr:from>
      <xdr:col>13</xdr:col>
      <xdr:colOff>557118</xdr:colOff>
      <xdr:row>51</xdr:row>
      <xdr:rowOff>9525</xdr:rowOff>
    </xdr:from>
    <xdr:to>
      <xdr:col>13</xdr:col>
      <xdr:colOff>583219</xdr:colOff>
      <xdr:row>56</xdr:row>
      <xdr:rowOff>0</xdr:rowOff>
    </xdr:to>
    <xdr:cxnSp macro="">
      <xdr:nvCxnSpPr>
        <xdr:cNvPr id="142" name="Straight Arrow Connector 141">
          <a:extLst>
            <a:ext uri="{FF2B5EF4-FFF2-40B4-BE49-F238E27FC236}">
              <a16:creationId xmlns:a16="http://schemas.microsoft.com/office/drawing/2014/main" id="{B893342E-A405-89D2-F13D-AD024E944F22}"/>
            </a:ext>
          </a:extLst>
        </xdr:cNvPr>
        <xdr:cNvCxnSpPr>
          <a:stCxn id="139" idx="2"/>
          <a:endCxn id="140" idx="0"/>
        </xdr:cNvCxnSpPr>
      </xdr:nvCxnSpPr>
      <xdr:spPr>
        <a:xfrm>
          <a:off x="16224342" y="9296400"/>
          <a:ext cx="26101" cy="9009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583219</xdr:colOff>
      <xdr:row>64</xdr:row>
      <xdr:rowOff>1941</xdr:rowOff>
    </xdr:from>
    <xdr:to>
      <xdr:col>13</xdr:col>
      <xdr:colOff>591158</xdr:colOff>
      <xdr:row>66</xdr:row>
      <xdr:rowOff>16807</xdr:rowOff>
    </xdr:to>
    <xdr:cxnSp macro="">
      <xdr:nvCxnSpPr>
        <xdr:cNvPr id="145" name="Straight Arrow Connector 144">
          <a:extLst>
            <a:ext uri="{FF2B5EF4-FFF2-40B4-BE49-F238E27FC236}">
              <a16:creationId xmlns:a16="http://schemas.microsoft.com/office/drawing/2014/main" id="{9DB9E817-C191-95EC-6ED6-4857D5DD5117}"/>
            </a:ext>
          </a:extLst>
        </xdr:cNvPr>
        <xdr:cNvCxnSpPr>
          <a:stCxn id="140" idx="2"/>
          <a:endCxn id="138" idx="0"/>
        </xdr:cNvCxnSpPr>
      </xdr:nvCxnSpPr>
      <xdr:spPr>
        <a:xfrm>
          <a:off x="16250443" y="11656059"/>
          <a:ext cx="7939" cy="3790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11767</xdr:colOff>
      <xdr:row>0</xdr:row>
      <xdr:rowOff>167528</xdr:rowOff>
    </xdr:from>
    <xdr:to>
      <xdr:col>6</xdr:col>
      <xdr:colOff>163234</xdr:colOff>
      <xdr:row>1</xdr:row>
      <xdr:rowOff>1859056</xdr:rowOff>
    </xdr:to>
    <xdr:pic>
      <xdr:nvPicPr>
        <xdr:cNvPr id="2" name="Picture 1">
          <a:extLst>
            <a:ext uri="{FF2B5EF4-FFF2-40B4-BE49-F238E27FC236}">
              <a16:creationId xmlns:a16="http://schemas.microsoft.com/office/drawing/2014/main" id="{410F3BD7-355F-D563-2442-B64BC5F5FFB2}"/>
            </a:ext>
          </a:extLst>
        </xdr:cNvPr>
        <xdr:cNvPicPr>
          <a:picLocks noChangeAspect="1"/>
        </xdr:cNvPicPr>
      </xdr:nvPicPr>
      <xdr:blipFill>
        <a:blip xmlns:r="http://schemas.openxmlformats.org/officeDocument/2006/relationships" r:embed="rId1"/>
        <a:stretch>
          <a:fillRect/>
        </a:stretch>
      </xdr:blipFill>
      <xdr:spPr>
        <a:xfrm>
          <a:off x="9760885" y="167528"/>
          <a:ext cx="4776321" cy="1867647"/>
        </a:xfrm>
        <a:prstGeom prst="rect">
          <a:avLst/>
        </a:prstGeom>
      </xdr:spPr>
    </xdr:pic>
    <xdr:clientData/>
  </xdr:twoCellAnchor>
  <xdr:twoCellAnchor editAs="oneCell">
    <xdr:from>
      <xdr:col>3</xdr:col>
      <xdr:colOff>10645</xdr:colOff>
      <xdr:row>1</xdr:row>
      <xdr:rowOff>1848411</xdr:rowOff>
    </xdr:from>
    <xdr:to>
      <xdr:col>6</xdr:col>
      <xdr:colOff>143061</xdr:colOff>
      <xdr:row>1</xdr:row>
      <xdr:rowOff>2656338</xdr:rowOff>
    </xdr:to>
    <xdr:pic>
      <xdr:nvPicPr>
        <xdr:cNvPr id="3" name="Picture 2">
          <a:extLst>
            <a:ext uri="{FF2B5EF4-FFF2-40B4-BE49-F238E27FC236}">
              <a16:creationId xmlns:a16="http://schemas.microsoft.com/office/drawing/2014/main" id="{D523F05B-06F6-5B89-95CC-05A4FE3F48EE}"/>
            </a:ext>
          </a:extLst>
        </xdr:cNvPr>
        <xdr:cNvPicPr>
          <a:picLocks noChangeAspect="1"/>
        </xdr:cNvPicPr>
      </xdr:nvPicPr>
      <xdr:blipFill>
        <a:blip xmlns:r="http://schemas.openxmlformats.org/officeDocument/2006/relationships" r:embed="rId2"/>
        <a:stretch>
          <a:fillRect/>
        </a:stretch>
      </xdr:blipFill>
      <xdr:spPr>
        <a:xfrm>
          <a:off x="9759763" y="2027705"/>
          <a:ext cx="4763620" cy="8111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1629708</xdr:colOff>
      <xdr:row>11</xdr:row>
      <xdr:rowOff>86473</xdr:rowOff>
    </xdr:from>
    <xdr:to>
      <xdr:col>4</xdr:col>
      <xdr:colOff>240179</xdr:colOff>
      <xdr:row>18</xdr:row>
      <xdr:rowOff>141941</xdr:rowOff>
    </xdr:to>
    <xdr:sp macro="" textlink="">
      <xdr:nvSpPr>
        <xdr:cNvPr id="2" name="TextBox 1">
          <a:extLst>
            <a:ext uri="{FF2B5EF4-FFF2-40B4-BE49-F238E27FC236}">
              <a16:creationId xmlns:a16="http://schemas.microsoft.com/office/drawing/2014/main" id="{39AD56F1-30E2-B7A7-72F3-F9CF00E2D3BD}"/>
            </a:ext>
          </a:extLst>
        </xdr:cNvPr>
        <xdr:cNvSpPr txBox="1"/>
      </xdr:nvSpPr>
      <xdr:spPr>
        <a:xfrm>
          <a:off x="1629708" y="3627532"/>
          <a:ext cx="5102412" cy="136282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Because the "Withold from Export" box is checked on the fund screen, Legal Entity investments will not show up on the Investor screen: if client asked about it, we can show the query results to verify these records are entered in the database.</a:t>
          </a:r>
          <a:br>
            <a:rPr lang="en-US" sz="1100" b="0" i="0" u="none" strike="noStrike">
              <a:solidFill>
                <a:schemeClr val="dk1"/>
              </a:solidFill>
              <a:effectLst/>
              <a:latin typeface="+mn-lt"/>
              <a:ea typeface="+mn-ea"/>
              <a:cs typeface="+mn-cs"/>
            </a:rPr>
          </a:br>
          <a:br>
            <a:rPr lang="en-US" sz="1100" b="0" i="0" u="none" strike="noStrike">
              <a:solidFill>
                <a:schemeClr val="dk1"/>
              </a:solidFill>
              <a:effectLst/>
              <a:latin typeface="+mn-lt"/>
              <a:ea typeface="+mn-ea"/>
              <a:cs typeface="+mn-cs"/>
            </a:rPr>
          </a:br>
          <a:r>
            <a:rPr lang="en-US" sz="1100" b="1" i="0" u="none" strike="noStrike">
              <a:solidFill>
                <a:schemeClr val="dk1"/>
              </a:solidFill>
              <a:effectLst/>
              <a:latin typeface="+mn-lt"/>
              <a:ea typeface="+mn-ea"/>
              <a:cs typeface="+mn-cs"/>
            </a:rPr>
            <a:t>use nationwide</a:t>
          </a:r>
          <a:br>
            <a:rPr lang="en-US" sz="1100" b="1" i="0" u="none" strike="noStrike">
              <a:solidFill>
                <a:schemeClr val="dk1"/>
              </a:solidFill>
              <a:effectLst/>
              <a:latin typeface="+mn-lt"/>
              <a:ea typeface="+mn-ea"/>
              <a:cs typeface="+mn-cs"/>
            </a:rPr>
          </a:br>
          <a:r>
            <a:rPr lang="en-US" sz="1100" b="1" i="0" u="none" strike="noStrike">
              <a:solidFill>
                <a:schemeClr val="dk1"/>
              </a:solidFill>
              <a:effectLst/>
              <a:latin typeface="+mn-lt"/>
              <a:ea typeface="+mn-ea"/>
              <a:cs typeface="+mn-cs"/>
            </a:rPr>
            <a:t>select * from investor</a:t>
          </a:r>
          <a:br>
            <a:rPr lang="en-US" sz="1100" b="1" i="0" u="none" strike="noStrike">
              <a:solidFill>
                <a:schemeClr val="dk1"/>
              </a:solidFill>
              <a:effectLst/>
              <a:latin typeface="+mn-lt"/>
              <a:ea typeface="+mn-ea"/>
              <a:cs typeface="+mn-cs"/>
            </a:rPr>
          </a:br>
          <a:r>
            <a:rPr lang="en-US" sz="1100" b="1" i="0" u="none" strike="noStrike">
              <a:solidFill>
                <a:schemeClr val="dk1"/>
              </a:solidFill>
              <a:effectLst/>
              <a:latin typeface="+mn-lt"/>
              <a:ea typeface="+mn-ea"/>
              <a:cs typeface="+mn-cs"/>
            </a:rPr>
            <a:t>where vcode='Fund Code'</a:t>
          </a:r>
          <a:r>
            <a:rPr lang="en-US">
              <a:effectLst/>
            </a:rPr>
            <a:t>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607919</xdr:colOff>
      <xdr:row>16</xdr:row>
      <xdr:rowOff>131670</xdr:rowOff>
    </xdr:from>
    <xdr:to>
      <xdr:col>2</xdr:col>
      <xdr:colOff>4062319</xdr:colOff>
      <xdr:row>27</xdr:row>
      <xdr:rowOff>26894</xdr:rowOff>
    </xdr:to>
    <xdr:sp macro="" textlink="">
      <xdr:nvSpPr>
        <xdr:cNvPr id="2" name="TextBox 1">
          <a:extLst>
            <a:ext uri="{FF2B5EF4-FFF2-40B4-BE49-F238E27FC236}">
              <a16:creationId xmlns:a16="http://schemas.microsoft.com/office/drawing/2014/main" id="{97664088-5583-4D35-99F8-E64D14011C41}"/>
            </a:ext>
          </a:extLst>
        </xdr:cNvPr>
        <xdr:cNvSpPr txBox="1"/>
      </xdr:nvSpPr>
      <xdr:spPr>
        <a:xfrm>
          <a:off x="1874184" y="4098552"/>
          <a:ext cx="3454400" cy="1867460"/>
        </a:xfrm>
        <a:prstGeom prst="rect">
          <a:avLst/>
        </a:prstGeom>
        <a:solidFill>
          <a:srgbClr val="92D05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endParaRPr lang="en-US" sz="1100" b="1">
            <a:latin typeface="+mn-lt"/>
          </a:endParaRPr>
        </a:p>
        <a:p>
          <a:pPr fontAlgn="t"/>
          <a:r>
            <a:rPr lang="en-US" sz="1100" b="1">
              <a:latin typeface="+mn-lt"/>
            </a:rPr>
            <a:t>1. </a:t>
          </a:r>
          <a:r>
            <a:rPr lang="en-US" sz="1100" b="0" i="0">
              <a:solidFill>
                <a:schemeClr val="dk1"/>
              </a:solidFill>
              <a:effectLst/>
              <a:latin typeface="+mn-lt"/>
              <a:ea typeface="+mn-ea"/>
              <a:cs typeface="+mn-cs"/>
            </a:rPr>
            <a:t>Copy the SQL below, update vCode, and run:</a:t>
          </a:r>
        </a:p>
        <a:p>
          <a:endParaRPr lang="en-US" sz="1100" baseline="0">
            <a:latin typeface="+mn-lt"/>
          </a:endParaRPr>
        </a:p>
        <a:p>
          <a:pPr rtl="0" fontAlgn="base"/>
          <a:r>
            <a:rPr lang="en-GB" sz="1100" b="0" i="0">
              <a:solidFill>
                <a:schemeClr val="dk1"/>
              </a:solidFill>
              <a:effectLst/>
              <a:latin typeface="+mn-lt"/>
              <a:ea typeface="+mn-ea"/>
              <a:cs typeface="+mn-cs"/>
            </a:rPr>
            <a:t>select * from Collection_Rule </a:t>
          </a:r>
        </a:p>
        <a:p>
          <a:pPr rtl="0" fontAlgn="base"/>
          <a:r>
            <a:rPr lang="en-GB" sz="1100" b="0" i="0">
              <a:solidFill>
                <a:schemeClr val="dk1"/>
              </a:solidFill>
              <a:effectLst/>
              <a:latin typeface="+mn-lt"/>
              <a:ea typeface="+mn-ea"/>
              <a:cs typeface="+mn-cs"/>
            </a:rPr>
            <a:t>where vCode = '</a:t>
          </a:r>
          <a:r>
            <a:rPr lang="en-GB" sz="1100" b="0" i="0">
              <a:solidFill>
                <a:srgbClr val="FF0000"/>
              </a:solidFill>
              <a:effectLst/>
              <a:latin typeface="+mn-lt"/>
              <a:ea typeface="+mn-ea"/>
              <a:cs typeface="+mn-cs"/>
            </a:rPr>
            <a:t>your vCode</a:t>
          </a:r>
          <a:r>
            <a:rPr lang="en-GB" sz="1100" b="0" i="0">
              <a:solidFill>
                <a:schemeClr val="dk1"/>
              </a:solidFill>
              <a:effectLst/>
              <a:latin typeface="+mn-lt"/>
              <a:ea typeface="+mn-ea"/>
              <a:cs typeface="+mn-cs"/>
            </a:rPr>
            <a:t>'  </a:t>
          </a:r>
        </a:p>
        <a:p>
          <a:pPr rtl="0" fontAlgn="base"/>
          <a:endParaRPr lang="en-US" sz="1100">
            <a:latin typeface="+mn-lt"/>
          </a:endParaRPr>
        </a:p>
        <a:p>
          <a:r>
            <a:rPr lang="en-US" sz="1100" b="1">
              <a:latin typeface="+mn-lt"/>
            </a:rPr>
            <a:t>2. Copy</a:t>
          </a:r>
          <a:r>
            <a:rPr lang="en-US" sz="1100" b="1" baseline="0">
              <a:latin typeface="+mn-lt"/>
            </a:rPr>
            <a:t> the UID and iType_ID column and </a:t>
          </a:r>
          <a:r>
            <a:rPr lang="en-US" sz="1100" b="1">
              <a:latin typeface="+mn-lt"/>
            </a:rPr>
            <a:t>Paste Values</a:t>
          </a:r>
          <a:r>
            <a:rPr lang="en-US" sz="1100" b="1" baseline="0">
              <a:latin typeface="+mn-lt"/>
            </a:rPr>
            <a:t> (123)</a:t>
          </a:r>
          <a:r>
            <a:rPr lang="en-US" sz="1100" b="1">
              <a:latin typeface="+mn-lt"/>
            </a:rPr>
            <a:t> into Data Validation Tab, </a:t>
          </a:r>
        </a:p>
        <a:p>
          <a:r>
            <a:rPr lang="en-US" sz="1100" b="1">
              <a:latin typeface="+mn-lt"/>
            </a:rPr>
            <a:t>Cells H3:I10</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0680F-7175-4CEF-A0C6-9438639DC7D7}">
  <sheetPr>
    <tabColor theme="3"/>
  </sheetPr>
  <dimension ref="A1:A19"/>
  <sheetViews>
    <sheetView showGridLines="0" topLeftCell="A12" zoomScale="115" zoomScaleNormal="115" workbookViewId="0">
      <selection activeCell="A33" sqref="A33"/>
    </sheetView>
  </sheetViews>
  <sheetFormatPr defaultRowHeight="14.5" x14ac:dyDescent="0.35"/>
  <cols>
    <col min="1" max="1" width="119.54296875" customWidth="1"/>
  </cols>
  <sheetData>
    <row r="1" spans="1:1" ht="15" thickBot="1" x14ac:dyDescent="0.4">
      <c r="A1" s="52" t="s">
        <v>0</v>
      </c>
    </row>
    <row r="4" spans="1:1" x14ac:dyDescent="0.35">
      <c r="A4" s="45"/>
    </row>
    <row r="5" spans="1:1" x14ac:dyDescent="0.35">
      <c r="A5" s="46"/>
    </row>
    <row r="6" spans="1:1" x14ac:dyDescent="0.35">
      <c r="A6" s="45"/>
    </row>
    <row r="7" spans="1:1" x14ac:dyDescent="0.35">
      <c r="A7" s="45"/>
    </row>
    <row r="8" spans="1:1" x14ac:dyDescent="0.35">
      <c r="A8" s="45"/>
    </row>
    <row r="17" spans="1:1" x14ac:dyDescent="0.35">
      <c r="A17" s="46"/>
    </row>
    <row r="18" spans="1:1" x14ac:dyDescent="0.35">
      <c r="A18" s="45"/>
    </row>
    <row r="19" spans="1:1" x14ac:dyDescent="0.35">
      <c r="A19" s="45"/>
    </row>
  </sheetData>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8454-1E06-4A8E-AE2E-F6D5CA193E9C}">
  <sheetPr>
    <tabColor theme="3"/>
  </sheetPr>
  <dimension ref="A1:F11"/>
  <sheetViews>
    <sheetView zoomScale="85" zoomScaleNormal="85" workbookViewId="0">
      <selection activeCell="B4" sqref="B4:C4"/>
    </sheetView>
  </sheetViews>
  <sheetFormatPr defaultRowHeight="14.5" x14ac:dyDescent="0.35"/>
  <cols>
    <col min="1" max="1" width="29.08984375" customWidth="1"/>
    <col min="2" max="2" width="53.26953125" customWidth="1"/>
    <col min="3" max="3" width="57.26953125" customWidth="1"/>
    <col min="4" max="4" width="25.54296875" bestFit="1" customWidth="1"/>
    <col min="5" max="5" width="26.54296875" bestFit="1" customWidth="1"/>
    <col min="6" max="6" width="14.08984375" customWidth="1"/>
  </cols>
  <sheetData>
    <row r="1" spans="1:6" x14ac:dyDescent="0.35">
      <c r="A1" s="130" t="s">
        <v>26</v>
      </c>
      <c r="B1" s="131"/>
      <c r="C1" s="131"/>
    </row>
    <row r="2" spans="1:6" ht="241" customHeight="1" x14ac:dyDescent="0.35">
      <c r="A2" s="29" t="s">
        <v>27</v>
      </c>
      <c r="B2" s="126" t="s">
        <v>122</v>
      </c>
      <c r="C2" s="126"/>
    </row>
    <row r="3" spans="1:6" ht="18" customHeight="1" x14ac:dyDescent="0.35">
      <c r="A3" s="39" t="s">
        <v>125</v>
      </c>
      <c r="B3" s="79" t="s">
        <v>131</v>
      </c>
    </row>
    <row r="4" spans="1:6" ht="69.5" customHeight="1" x14ac:dyDescent="0.35">
      <c r="A4" s="48" t="s">
        <v>114</v>
      </c>
      <c r="B4" s="126" t="s">
        <v>116</v>
      </c>
      <c r="C4" s="126"/>
    </row>
    <row r="5" spans="1:6" ht="61.5" customHeight="1" x14ac:dyDescent="0.35">
      <c r="A5" s="49" t="s">
        <v>123</v>
      </c>
      <c r="B5" s="127" t="s">
        <v>124</v>
      </c>
      <c r="C5" s="127"/>
    </row>
    <row r="6" spans="1:6" ht="14.5" customHeight="1" x14ac:dyDescent="0.35">
      <c r="A6" s="128" t="s">
        <v>115</v>
      </c>
      <c r="B6" s="35" t="s">
        <v>82</v>
      </c>
      <c r="C6" s="35" t="s">
        <v>83</v>
      </c>
      <c r="D6" s="35" t="s">
        <v>84</v>
      </c>
      <c r="E6" s="35" t="s">
        <v>85</v>
      </c>
      <c r="F6" s="36" t="s">
        <v>86</v>
      </c>
    </row>
    <row r="7" spans="1:6" ht="161.5" customHeight="1" x14ac:dyDescent="0.35">
      <c r="A7" s="129"/>
      <c r="B7" s="6" t="s">
        <v>103</v>
      </c>
      <c r="C7" s="6" t="s">
        <v>18</v>
      </c>
      <c r="D7" s="6" t="s">
        <v>110</v>
      </c>
      <c r="E7" s="6" t="s">
        <v>101</v>
      </c>
      <c r="F7" s="42" t="b">
        <v>0</v>
      </c>
    </row>
    <row r="8" spans="1:6" ht="161.5" customHeight="1" x14ac:dyDescent="0.35">
      <c r="A8" s="129"/>
      <c r="B8" s="37" t="s">
        <v>103</v>
      </c>
      <c r="C8" s="37" t="s">
        <v>121</v>
      </c>
      <c r="D8" s="37" t="s">
        <v>126</v>
      </c>
      <c r="E8" s="37" t="s">
        <v>104</v>
      </c>
      <c r="F8" s="38" t="b">
        <v>0</v>
      </c>
    </row>
    <row r="9" spans="1:6" ht="143" customHeight="1" x14ac:dyDescent="0.35">
      <c r="A9" s="129"/>
      <c r="B9" s="6" t="s">
        <v>105</v>
      </c>
      <c r="C9" s="6" t="s">
        <v>106</v>
      </c>
      <c r="D9" s="6" t="s">
        <v>111</v>
      </c>
      <c r="E9" s="6" t="s">
        <v>104</v>
      </c>
      <c r="F9" s="42" t="b">
        <v>0</v>
      </c>
    </row>
    <row r="10" spans="1:6" ht="241" customHeight="1" x14ac:dyDescent="0.35">
      <c r="A10" s="129"/>
      <c r="B10" s="37" t="s">
        <v>103</v>
      </c>
      <c r="C10" s="37" t="s">
        <v>100</v>
      </c>
      <c r="D10" s="37" t="s">
        <v>127</v>
      </c>
      <c r="E10" s="37" t="s">
        <v>102</v>
      </c>
      <c r="F10" s="38" t="b">
        <v>0</v>
      </c>
    </row>
    <row r="11" spans="1:6" ht="108" customHeight="1" x14ac:dyDescent="0.35">
      <c r="A11" s="50" t="s">
        <v>117</v>
      </c>
      <c r="B11" s="51" t="s">
        <v>113</v>
      </c>
      <c r="C11" s="51" t="s">
        <v>112</v>
      </c>
    </row>
  </sheetData>
  <mergeCells count="5">
    <mergeCell ref="B4:C4"/>
    <mergeCell ref="B5:C5"/>
    <mergeCell ref="A6:A10"/>
    <mergeCell ref="B2:C2"/>
    <mergeCell ref="A1:C1"/>
  </mergeCells>
  <conditionalFormatting sqref="F7:F10">
    <cfRule type="expression" dxfId="19" priority="1">
      <formula>$F7=TRUE</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31E4-83C7-4944-81C7-82ABC51EAC04}">
  <sheetPr>
    <tabColor theme="3"/>
  </sheetPr>
  <dimension ref="A1:P5"/>
  <sheetViews>
    <sheetView workbookViewId="0">
      <selection sqref="A1:XFD1048576"/>
    </sheetView>
  </sheetViews>
  <sheetFormatPr defaultRowHeight="14.5" x14ac:dyDescent="0.35"/>
  <cols>
    <col min="1" max="1" width="40.453125" customWidth="1"/>
    <col min="2" max="2" width="27" customWidth="1"/>
    <col min="3" max="3" width="26.453125" customWidth="1"/>
    <col min="4" max="4" width="28.7265625" customWidth="1"/>
    <col min="5" max="5" width="21.26953125" customWidth="1"/>
    <col min="6" max="6" width="29.7265625" customWidth="1"/>
    <col min="7" max="7" width="18.54296875" customWidth="1"/>
    <col min="8" max="8" width="18.1796875" customWidth="1"/>
    <col min="9" max="9" width="18.54296875" customWidth="1"/>
    <col min="10" max="10" width="24.7265625" customWidth="1"/>
    <col min="11" max="11" width="17.1796875" customWidth="1"/>
    <col min="12" max="12" width="27.1796875" customWidth="1"/>
    <col min="13" max="13" width="17.453125" bestFit="1" customWidth="1"/>
    <col min="14" max="14" width="18.54296875" customWidth="1"/>
    <col min="15" max="15" width="14.7265625" bestFit="1" customWidth="1"/>
    <col min="16" max="16" width="20.7265625" customWidth="1"/>
  </cols>
  <sheetData>
    <row r="1" spans="1:16" s="87" customFormat="1" x14ac:dyDescent="0.35">
      <c r="A1" s="115"/>
      <c r="B1" s="115"/>
      <c r="C1" s="115"/>
      <c r="D1" s="115"/>
      <c r="E1" s="115"/>
      <c r="F1" s="115"/>
      <c r="G1" s="115"/>
      <c r="H1" s="115"/>
      <c r="I1" s="115"/>
      <c r="J1" s="115"/>
      <c r="K1" s="115"/>
      <c r="L1" s="115"/>
      <c r="M1" s="115"/>
      <c r="N1" s="115"/>
      <c r="O1" s="115"/>
      <c r="P1" s="115"/>
    </row>
    <row r="2" spans="1:16" s="87" customFormat="1" ht="24" customHeight="1" thickBot="1" x14ac:dyDescent="0.4">
      <c r="A2" s="115"/>
      <c r="B2" s="115"/>
      <c r="C2" s="115"/>
      <c r="D2" s="115"/>
      <c r="E2" s="115"/>
      <c r="F2" s="115"/>
      <c r="G2" s="115"/>
      <c r="H2" s="115"/>
      <c r="I2" s="115"/>
      <c r="J2" s="115"/>
      <c r="K2" s="115"/>
      <c r="L2" s="115"/>
      <c r="M2" s="115"/>
      <c r="N2" s="116"/>
      <c r="O2" s="115"/>
      <c r="P2" s="115"/>
    </row>
    <row r="3" spans="1:16" x14ac:dyDescent="0.35">
      <c r="A3" s="117"/>
      <c r="B3" s="117"/>
      <c r="C3" s="117"/>
      <c r="D3" s="117"/>
      <c r="E3" s="117"/>
      <c r="F3" s="117"/>
      <c r="G3" s="117"/>
      <c r="H3" s="117"/>
      <c r="I3" s="117"/>
      <c r="J3" s="117"/>
      <c r="K3" s="117"/>
      <c r="L3" s="118"/>
      <c r="M3" s="119"/>
      <c r="N3" s="119"/>
      <c r="O3" s="119"/>
      <c r="P3" s="119"/>
    </row>
    <row r="4" spans="1:16" x14ac:dyDescent="0.35">
      <c r="D4" s="1"/>
      <c r="E4" s="1"/>
      <c r="K4" s="120"/>
      <c r="L4" s="88"/>
      <c r="O4" s="1"/>
    </row>
    <row r="5" spans="1:16" x14ac:dyDescent="0.35">
      <c r="D5" s="1"/>
      <c r="E5" s="1"/>
      <c r="K5" s="120"/>
      <c r="L5" s="88"/>
      <c r="O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332F-BBA3-452E-A371-31B76E2CC5C9}">
  <sheetPr>
    <tabColor theme="3"/>
  </sheetPr>
  <dimension ref="A1:L111"/>
  <sheetViews>
    <sheetView workbookViewId="0">
      <selection activeCell="G31" sqref="G31"/>
    </sheetView>
  </sheetViews>
  <sheetFormatPr defaultRowHeight="14.5" x14ac:dyDescent="0.35"/>
  <cols>
    <col min="1" max="1" width="32.1796875" style="55" customWidth="1"/>
    <col min="2" max="2" width="26.7265625" style="55" customWidth="1"/>
    <col min="3" max="3" width="21.81640625" style="55" bestFit="1" customWidth="1"/>
    <col min="4" max="4" width="19.81640625" style="55" customWidth="1"/>
    <col min="5" max="5" width="11.81640625" style="55" bestFit="1" customWidth="1"/>
    <col min="6" max="6" width="12.7265625" style="55" customWidth="1"/>
    <col min="7" max="7" width="16.1796875" style="55" bestFit="1" customWidth="1"/>
    <col min="8" max="8" width="15.1796875" style="55" customWidth="1"/>
    <col min="9" max="9" width="19.453125" style="55" bestFit="1" customWidth="1"/>
    <col min="10" max="10" width="23.54296875" style="55" bestFit="1" customWidth="1"/>
    <col min="11" max="11" width="22.81640625" style="55" bestFit="1" customWidth="1"/>
    <col min="12" max="12" width="12.453125" style="55" bestFit="1" customWidth="1"/>
    <col min="13" max="13" width="16.453125" style="55" bestFit="1" customWidth="1"/>
    <col min="14" max="14" width="18.453125" style="55" bestFit="1" customWidth="1"/>
    <col min="15" max="15" width="14.81640625" style="55" bestFit="1" customWidth="1"/>
    <col min="16" max="16" width="14.453125" style="55" bestFit="1" customWidth="1"/>
    <col min="17" max="17" width="21.453125" style="55" bestFit="1" customWidth="1"/>
    <col min="18" max="252" width="8.7265625" style="55"/>
    <col min="253" max="253" width="18" style="55" bestFit="1" customWidth="1"/>
    <col min="254" max="254" width="24.81640625" style="55" bestFit="1" customWidth="1"/>
    <col min="255" max="255" width="14.7265625" style="55" bestFit="1" customWidth="1"/>
    <col min="256" max="256" width="17.26953125" style="55" bestFit="1" customWidth="1"/>
    <col min="257" max="257" width="11.81640625" style="55" bestFit="1" customWidth="1"/>
    <col min="258" max="258" width="14.7265625" style="55" bestFit="1" customWidth="1"/>
    <col min="259" max="259" width="16.1796875" style="55" bestFit="1" customWidth="1"/>
    <col min="260" max="260" width="15.1796875" style="55" customWidth="1"/>
    <col min="261" max="261" width="19.453125" style="55" bestFit="1" customWidth="1"/>
    <col min="262" max="262" width="19.1796875" style="55" bestFit="1" customWidth="1"/>
    <col min="263" max="263" width="12.81640625" style="55" customWidth="1"/>
    <col min="264" max="264" width="16.26953125" style="55" bestFit="1" customWidth="1"/>
    <col min="265" max="265" width="20.54296875" style="55" bestFit="1" customWidth="1"/>
    <col min="266" max="266" width="23.54296875" style="55" bestFit="1" customWidth="1"/>
    <col min="267" max="267" width="22.81640625" style="55" bestFit="1" customWidth="1"/>
    <col min="268" max="268" width="12.453125" style="55" bestFit="1" customWidth="1"/>
    <col min="269" max="269" width="16.453125" style="55" bestFit="1" customWidth="1"/>
    <col min="270" max="270" width="18.453125" style="55" bestFit="1" customWidth="1"/>
    <col min="271" max="508" width="8.7265625" style="55"/>
    <col min="509" max="509" width="18" style="55" bestFit="1" customWidth="1"/>
    <col min="510" max="510" width="24.81640625" style="55" bestFit="1" customWidth="1"/>
    <col min="511" max="511" width="14.7265625" style="55" bestFit="1" customWidth="1"/>
    <col min="512" max="512" width="17.26953125" style="55" bestFit="1" customWidth="1"/>
    <col min="513" max="513" width="11.81640625" style="55" bestFit="1" customWidth="1"/>
    <col min="514" max="514" width="14.7265625" style="55" bestFit="1" customWidth="1"/>
    <col min="515" max="515" width="16.1796875" style="55" bestFit="1" customWidth="1"/>
    <col min="516" max="516" width="15.1796875" style="55" customWidth="1"/>
    <col min="517" max="517" width="19.453125" style="55" bestFit="1" customWidth="1"/>
    <col min="518" max="518" width="19.1796875" style="55" bestFit="1" customWidth="1"/>
    <col min="519" max="519" width="12.81640625" style="55" customWidth="1"/>
    <col min="520" max="520" width="16.26953125" style="55" bestFit="1" customWidth="1"/>
    <col min="521" max="521" width="20.54296875" style="55" bestFit="1" customWidth="1"/>
    <col min="522" max="522" width="23.54296875" style="55" bestFit="1" customWidth="1"/>
    <col min="523" max="523" width="22.81640625" style="55" bestFit="1" customWidth="1"/>
    <col min="524" max="524" width="12.453125" style="55" bestFit="1" customWidth="1"/>
    <col min="525" max="525" width="16.453125" style="55" bestFit="1" customWidth="1"/>
    <col min="526" max="526" width="18.453125" style="55" bestFit="1" customWidth="1"/>
    <col min="527" max="764" width="8.7265625" style="55"/>
    <col min="765" max="765" width="18" style="55" bestFit="1" customWidth="1"/>
    <col min="766" max="766" width="24.81640625" style="55" bestFit="1" customWidth="1"/>
    <col min="767" max="767" width="14.7265625" style="55" bestFit="1" customWidth="1"/>
    <col min="768" max="768" width="17.26953125" style="55" bestFit="1" customWidth="1"/>
    <col min="769" max="769" width="11.81640625" style="55" bestFit="1" customWidth="1"/>
    <col min="770" max="770" width="14.7265625" style="55" bestFit="1" customWidth="1"/>
    <col min="771" max="771" width="16.1796875" style="55" bestFit="1" customWidth="1"/>
    <col min="772" max="772" width="15.1796875" style="55" customWidth="1"/>
    <col min="773" max="773" width="19.453125" style="55" bestFit="1" customWidth="1"/>
    <col min="774" max="774" width="19.1796875" style="55" bestFit="1" customWidth="1"/>
    <col min="775" max="775" width="12.81640625" style="55" customWidth="1"/>
    <col min="776" max="776" width="16.26953125" style="55" bestFit="1" customWidth="1"/>
    <col min="777" max="777" width="20.54296875" style="55" bestFit="1" customWidth="1"/>
    <col min="778" max="778" width="23.54296875" style="55" bestFit="1" customWidth="1"/>
    <col min="779" max="779" width="22.81640625" style="55" bestFit="1" customWidth="1"/>
    <col min="780" max="780" width="12.453125" style="55" bestFit="1" customWidth="1"/>
    <col min="781" max="781" width="16.453125" style="55" bestFit="1" customWidth="1"/>
    <col min="782" max="782" width="18.453125" style="55" bestFit="1" customWidth="1"/>
    <col min="783" max="1020" width="8.7265625" style="55"/>
    <col min="1021" max="1021" width="18" style="55" bestFit="1" customWidth="1"/>
    <col min="1022" max="1022" width="24.81640625" style="55" bestFit="1" customWidth="1"/>
    <col min="1023" max="1023" width="14.7265625" style="55" bestFit="1" customWidth="1"/>
    <col min="1024" max="1024" width="17.26953125" style="55" bestFit="1" customWidth="1"/>
    <col min="1025" max="1025" width="11.81640625" style="55" bestFit="1" customWidth="1"/>
    <col min="1026" max="1026" width="14.7265625" style="55" bestFit="1" customWidth="1"/>
    <col min="1027" max="1027" width="16.1796875" style="55" bestFit="1" customWidth="1"/>
    <col min="1028" max="1028" width="15.1796875" style="55" customWidth="1"/>
    <col min="1029" max="1029" width="19.453125" style="55" bestFit="1" customWidth="1"/>
    <col min="1030" max="1030" width="19.1796875" style="55" bestFit="1" customWidth="1"/>
    <col min="1031" max="1031" width="12.81640625" style="55" customWidth="1"/>
    <col min="1032" max="1032" width="16.26953125" style="55" bestFit="1" customWidth="1"/>
    <col min="1033" max="1033" width="20.54296875" style="55" bestFit="1" customWidth="1"/>
    <col min="1034" max="1034" width="23.54296875" style="55" bestFit="1" customWidth="1"/>
    <col min="1035" max="1035" width="22.81640625" style="55" bestFit="1" customWidth="1"/>
    <col min="1036" max="1036" width="12.453125" style="55" bestFit="1" customWidth="1"/>
    <col min="1037" max="1037" width="16.453125" style="55" bestFit="1" customWidth="1"/>
    <col min="1038" max="1038" width="18.453125" style="55" bestFit="1" customWidth="1"/>
    <col min="1039" max="1276" width="8.7265625" style="55"/>
    <col min="1277" max="1277" width="18" style="55" bestFit="1" customWidth="1"/>
    <col min="1278" max="1278" width="24.81640625" style="55" bestFit="1" customWidth="1"/>
    <col min="1279" max="1279" width="14.7265625" style="55" bestFit="1" customWidth="1"/>
    <col min="1280" max="1280" width="17.26953125" style="55" bestFit="1" customWidth="1"/>
    <col min="1281" max="1281" width="11.81640625" style="55" bestFit="1" customWidth="1"/>
    <col min="1282" max="1282" width="14.7265625" style="55" bestFit="1" customWidth="1"/>
    <col min="1283" max="1283" width="16.1796875" style="55" bestFit="1" customWidth="1"/>
    <col min="1284" max="1284" width="15.1796875" style="55" customWidth="1"/>
    <col min="1285" max="1285" width="19.453125" style="55" bestFit="1" customWidth="1"/>
    <col min="1286" max="1286" width="19.1796875" style="55" bestFit="1" customWidth="1"/>
    <col min="1287" max="1287" width="12.81640625" style="55" customWidth="1"/>
    <col min="1288" max="1288" width="16.26953125" style="55" bestFit="1" customWidth="1"/>
    <col min="1289" max="1289" width="20.54296875" style="55" bestFit="1" customWidth="1"/>
    <col min="1290" max="1290" width="23.54296875" style="55" bestFit="1" customWidth="1"/>
    <col min="1291" max="1291" width="22.81640625" style="55" bestFit="1" customWidth="1"/>
    <col min="1292" max="1292" width="12.453125" style="55" bestFit="1" customWidth="1"/>
    <col min="1293" max="1293" width="16.453125" style="55" bestFit="1" customWidth="1"/>
    <col min="1294" max="1294" width="18.453125" style="55" bestFit="1" customWidth="1"/>
    <col min="1295" max="1532" width="8.7265625" style="55"/>
    <col min="1533" max="1533" width="18" style="55" bestFit="1" customWidth="1"/>
    <col min="1534" max="1534" width="24.81640625" style="55" bestFit="1" customWidth="1"/>
    <col min="1535" max="1535" width="14.7265625" style="55" bestFit="1" customWidth="1"/>
    <col min="1536" max="1536" width="17.26953125" style="55" bestFit="1" customWidth="1"/>
    <col min="1537" max="1537" width="11.81640625" style="55" bestFit="1" customWidth="1"/>
    <col min="1538" max="1538" width="14.7265625" style="55" bestFit="1" customWidth="1"/>
    <col min="1539" max="1539" width="16.1796875" style="55" bestFit="1" customWidth="1"/>
    <col min="1540" max="1540" width="15.1796875" style="55" customWidth="1"/>
    <col min="1541" max="1541" width="19.453125" style="55" bestFit="1" customWidth="1"/>
    <col min="1542" max="1542" width="19.1796875" style="55" bestFit="1" customWidth="1"/>
    <col min="1543" max="1543" width="12.81640625" style="55" customWidth="1"/>
    <col min="1544" max="1544" width="16.26953125" style="55" bestFit="1" customWidth="1"/>
    <col min="1545" max="1545" width="20.54296875" style="55" bestFit="1" customWidth="1"/>
    <col min="1546" max="1546" width="23.54296875" style="55" bestFit="1" customWidth="1"/>
    <col min="1547" max="1547" width="22.81640625" style="55" bestFit="1" customWidth="1"/>
    <col min="1548" max="1548" width="12.453125" style="55" bestFit="1" customWidth="1"/>
    <col min="1549" max="1549" width="16.453125" style="55" bestFit="1" customWidth="1"/>
    <col min="1550" max="1550" width="18.453125" style="55" bestFit="1" customWidth="1"/>
    <col min="1551" max="1788" width="8.7265625" style="55"/>
    <col min="1789" max="1789" width="18" style="55" bestFit="1" customWidth="1"/>
    <col min="1790" max="1790" width="24.81640625" style="55" bestFit="1" customWidth="1"/>
    <col min="1791" max="1791" width="14.7265625" style="55" bestFit="1" customWidth="1"/>
    <col min="1792" max="1792" width="17.26953125" style="55" bestFit="1" customWidth="1"/>
    <col min="1793" max="1793" width="11.81640625" style="55" bestFit="1" customWidth="1"/>
    <col min="1794" max="1794" width="14.7265625" style="55" bestFit="1" customWidth="1"/>
    <col min="1795" max="1795" width="16.1796875" style="55" bestFit="1" customWidth="1"/>
    <col min="1796" max="1796" width="15.1796875" style="55" customWidth="1"/>
    <col min="1797" max="1797" width="19.453125" style="55" bestFit="1" customWidth="1"/>
    <col min="1798" max="1798" width="19.1796875" style="55" bestFit="1" customWidth="1"/>
    <col min="1799" max="1799" width="12.81640625" style="55" customWidth="1"/>
    <col min="1800" max="1800" width="16.26953125" style="55" bestFit="1" customWidth="1"/>
    <col min="1801" max="1801" width="20.54296875" style="55" bestFit="1" customWidth="1"/>
    <col min="1802" max="1802" width="23.54296875" style="55" bestFit="1" customWidth="1"/>
    <col min="1803" max="1803" width="22.81640625" style="55" bestFit="1" customWidth="1"/>
    <col min="1804" max="1804" width="12.453125" style="55" bestFit="1" customWidth="1"/>
    <col min="1805" max="1805" width="16.453125" style="55" bestFit="1" customWidth="1"/>
    <col min="1806" max="1806" width="18.453125" style="55" bestFit="1" customWidth="1"/>
    <col min="1807" max="2044" width="8.7265625" style="55"/>
    <col min="2045" max="2045" width="18" style="55" bestFit="1" customWidth="1"/>
    <col min="2046" max="2046" width="24.81640625" style="55" bestFit="1" customWidth="1"/>
    <col min="2047" max="2047" width="14.7265625" style="55" bestFit="1" customWidth="1"/>
    <col min="2048" max="2048" width="17.26953125" style="55" bestFit="1" customWidth="1"/>
    <col min="2049" max="2049" width="11.81640625" style="55" bestFit="1" customWidth="1"/>
    <col min="2050" max="2050" width="14.7265625" style="55" bestFit="1" customWidth="1"/>
    <col min="2051" max="2051" width="16.1796875" style="55" bestFit="1" customWidth="1"/>
    <col min="2052" max="2052" width="15.1796875" style="55" customWidth="1"/>
    <col min="2053" max="2053" width="19.453125" style="55" bestFit="1" customWidth="1"/>
    <col min="2054" max="2054" width="19.1796875" style="55" bestFit="1" customWidth="1"/>
    <col min="2055" max="2055" width="12.81640625" style="55" customWidth="1"/>
    <col min="2056" max="2056" width="16.26953125" style="55" bestFit="1" customWidth="1"/>
    <col min="2057" max="2057" width="20.54296875" style="55" bestFit="1" customWidth="1"/>
    <col min="2058" max="2058" width="23.54296875" style="55" bestFit="1" customWidth="1"/>
    <col min="2059" max="2059" width="22.81640625" style="55" bestFit="1" customWidth="1"/>
    <col min="2060" max="2060" width="12.453125" style="55" bestFit="1" customWidth="1"/>
    <col min="2061" max="2061" width="16.453125" style="55" bestFit="1" customWidth="1"/>
    <col min="2062" max="2062" width="18.453125" style="55" bestFit="1" customWidth="1"/>
    <col min="2063" max="2300" width="8.7265625" style="55"/>
    <col min="2301" max="2301" width="18" style="55" bestFit="1" customWidth="1"/>
    <col min="2302" max="2302" width="24.81640625" style="55" bestFit="1" customWidth="1"/>
    <col min="2303" max="2303" width="14.7265625" style="55" bestFit="1" customWidth="1"/>
    <col min="2304" max="2304" width="17.26953125" style="55" bestFit="1" customWidth="1"/>
    <col min="2305" max="2305" width="11.81640625" style="55" bestFit="1" customWidth="1"/>
    <col min="2306" max="2306" width="14.7265625" style="55" bestFit="1" customWidth="1"/>
    <col min="2307" max="2307" width="16.1796875" style="55" bestFit="1" customWidth="1"/>
    <col min="2308" max="2308" width="15.1796875" style="55" customWidth="1"/>
    <col min="2309" max="2309" width="19.453125" style="55" bestFit="1" customWidth="1"/>
    <col min="2310" max="2310" width="19.1796875" style="55" bestFit="1" customWidth="1"/>
    <col min="2311" max="2311" width="12.81640625" style="55" customWidth="1"/>
    <col min="2312" max="2312" width="16.26953125" style="55" bestFit="1" customWidth="1"/>
    <col min="2313" max="2313" width="20.54296875" style="55" bestFit="1" customWidth="1"/>
    <col min="2314" max="2314" width="23.54296875" style="55" bestFit="1" customWidth="1"/>
    <col min="2315" max="2315" width="22.81640625" style="55" bestFit="1" customWidth="1"/>
    <col min="2316" max="2316" width="12.453125" style="55" bestFit="1" customWidth="1"/>
    <col min="2317" max="2317" width="16.453125" style="55" bestFit="1" customWidth="1"/>
    <col min="2318" max="2318" width="18.453125" style="55" bestFit="1" customWidth="1"/>
    <col min="2319" max="2556" width="8.7265625" style="55"/>
    <col min="2557" max="2557" width="18" style="55" bestFit="1" customWidth="1"/>
    <col min="2558" max="2558" width="24.81640625" style="55" bestFit="1" customWidth="1"/>
    <col min="2559" max="2559" width="14.7265625" style="55" bestFit="1" customWidth="1"/>
    <col min="2560" max="2560" width="17.26953125" style="55" bestFit="1" customWidth="1"/>
    <col min="2561" max="2561" width="11.81640625" style="55" bestFit="1" customWidth="1"/>
    <col min="2562" max="2562" width="14.7265625" style="55" bestFit="1" customWidth="1"/>
    <col min="2563" max="2563" width="16.1796875" style="55" bestFit="1" customWidth="1"/>
    <col min="2564" max="2564" width="15.1796875" style="55" customWidth="1"/>
    <col min="2565" max="2565" width="19.453125" style="55" bestFit="1" customWidth="1"/>
    <col min="2566" max="2566" width="19.1796875" style="55" bestFit="1" customWidth="1"/>
    <col min="2567" max="2567" width="12.81640625" style="55" customWidth="1"/>
    <col min="2568" max="2568" width="16.26953125" style="55" bestFit="1" customWidth="1"/>
    <col min="2569" max="2569" width="20.54296875" style="55" bestFit="1" customWidth="1"/>
    <col min="2570" max="2570" width="23.54296875" style="55" bestFit="1" customWidth="1"/>
    <col min="2571" max="2571" width="22.81640625" style="55" bestFit="1" customWidth="1"/>
    <col min="2572" max="2572" width="12.453125" style="55" bestFit="1" customWidth="1"/>
    <col min="2573" max="2573" width="16.453125" style="55" bestFit="1" customWidth="1"/>
    <col min="2574" max="2574" width="18.453125" style="55" bestFit="1" customWidth="1"/>
    <col min="2575" max="2812" width="8.7265625" style="55"/>
    <col min="2813" max="2813" width="18" style="55" bestFit="1" customWidth="1"/>
    <col min="2814" max="2814" width="24.81640625" style="55" bestFit="1" customWidth="1"/>
    <col min="2815" max="2815" width="14.7265625" style="55" bestFit="1" customWidth="1"/>
    <col min="2816" max="2816" width="17.26953125" style="55" bestFit="1" customWidth="1"/>
    <col min="2817" max="2817" width="11.81640625" style="55" bestFit="1" customWidth="1"/>
    <col min="2818" max="2818" width="14.7265625" style="55" bestFit="1" customWidth="1"/>
    <col min="2819" max="2819" width="16.1796875" style="55" bestFit="1" customWidth="1"/>
    <col min="2820" max="2820" width="15.1796875" style="55" customWidth="1"/>
    <col min="2821" max="2821" width="19.453125" style="55" bestFit="1" customWidth="1"/>
    <col min="2822" max="2822" width="19.1796875" style="55" bestFit="1" customWidth="1"/>
    <col min="2823" max="2823" width="12.81640625" style="55" customWidth="1"/>
    <col min="2824" max="2824" width="16.26953125" style="55" bestFit="1" customWidth="1"/>
    <col min="2825" max="2825" width="20.54296875" style="55" bestFit="1" customWidth="1"/>
    <col min="2826" max="2826" width="23.54296875" style="55" bestFit="1" customWidth="1"/>
    <col min="2827" max="2827" width="22.81640625" style="55" bestFit="1" customWidth="1"/>
    <col min="2828" max="2828" width="12.453125" style="55" bestFit="1" customWidth="1"/>
    <col min="2829" max="2829" width="16.453125" style="55" bestFit="1" customWidth="1"/>
    <col min="2830" max="2830" width="18.453125" style="55" bestFit="1" customWidth="1"/>
    <col min="2831" max="3068" width="8.7265625" style="55"/>
    <col min="3069" max="3069" width="18" style="55" bestFit="1" customWidth="1"/>
    <col min="3070" max="3070" width="24.81640625" style="55" bestFit="1" customWidth="1"/>
    <col min="3071" max="3071" width="14.7265625" style="55" bestFit="1" customWidth="1"/>
    <col min="3072" max="3072" width="17.26953125" style="55" bestFit="1" customWidth="1"/>
    <col min="3073" max="3073" width="11.81640625" style="55" bestFit="1" customWidth="1"/>
    <col min="3074" max="3074" width="14.7265625" style="55" bestFit="1" customWidth="1"/>
    <col min="3075" max="3075" width="16.1796875" style="55" bestFit="1" customWidth="1"/>
    <col min="3076" max="3076" width="15.1796875" style="55" customWidth="1"/>
    <col min="3077" max="3077" width="19.453125" style="55" bestFit="1" customWidth="1"/>
    <col min="3078" max="3078" width="19.1796875" style="55" bestFit="1" customWidth="1"/>
    <col min="3079" max="3079" width="12.81640625" style="55" customWidth="1"/>
    <col min="3080" max="3080" width="16.26953125" style="55" bestFit="1" customWidth="1"/>
    <col min="3081" max="3081" width="20.54296875" style="55" bestFit="1" customWidth="1"/>
    <col min="3082" max="3082" width="23.54296875" style="55" bestFit="1" customWidth="1"/>
    <col min="3083" max="3083" width="22.81640625" style="55" bestFit="1" customWidth="1"/>
    <col min="3084" max="3084" width="12.453125" style="55" bestFit="1" customWidth="1"/>
    <col min="3085" max="3085" width="16.453125" style="55" bestFit="1" customWidth="1"/>
    <col min="3086" max="3086" width="18.453125" style="55" bestFit="1" customWidth="1"/>
    <col min="3087" max="3324" width="8.7265625" style="55"/>
    <col min="3325" max="3325" width="18" style="55" bestFit="1" customWidth="1"/>
    <col min="3326" max="3326" width="24.81640625" style="55" bestFit="1" customWidth="1"/>
    <col min="3327" max="3327" width="14.7265625" style="55" bestFit="1" customWidth="1"/>
    <col min="3328" max="3328" width="17.26953125" style="55" bestFit="1" customWidth="1"/>
    <col min="3329" max="3329" width="11.81640625" style="55" bestFit="1" customWidth="1"/>
    <col min="3330" max="3330" width="14.7265625" style="55" bestFit="1" customWidth="1"/>
    <col min="3331" max="3331" width="16.1796875" style="55" bestFit="1" customWidth="1"/>
    <col min="3332" max="3332" width="15.1796875" style="55" customWidth="1"/>
    <col min="3333" max="3333" width="19.453125" style="55" bestFit="1" customWidth="1"/>
    <col min="3334" max="3334" width="19.1796875" style="55" bestFit="1" customWidth="1"/>
    <col min="3335" max="3335" width="12.81640625" style="55" customWidth="1"/>
    <col min="3336" max="3336" width="16.26953125" style="55" bestFit="1" customWidth="1"/>
    <col min="3337" max="3337" width="20.54296875" style="55" bestFit="1" customWidth="1"/>
    <col min="3338" max="3338" width="23.54296875" style="55" bestFit="1" customWidth="1"/>
    <col min="3339" max="3339" width="22.81640625" style="55" bestFit="1" customWidth="1"/>
    <col min="3340" max="3340" width="12.453125" style="55" bestFit="1" customWidth="1"/>
    <col min="3341" max="3341" width="16.453125" style="55" bestFit="1" customWidth="1"/>
    <col min="3342" max="3342" width="18.453125" style="55" bestFit="1" customWidth="1"/>
    <col min="3343" max="3580" width="8.7265625" style="55"/>
    <col min="3581" max="3581" width="18" style="55" bestFit="1" customWidth="1"/>
    <col min="3582" max="3582" width="24.81640625" style="55" bestFit="1" customWidth="1"/>
    <col min="3583" max="3583" width="14.7265625" style="55" bestFit="1" customWidth="1"/>
    <col min="3584" max="3584" width="17.26953125" style="55" bestFit="1" customWidth="1"/>
    <col min="3585" max="3585" width="11.81640625" style="55" bestFit="1" customWidth="1"/>
    <col min="3586" max="3586" width="14.7265625" style="55" bestFit="1" customWidth="1"/>
    <col min="3587" max="3587" width="16.1796875" style="55" bestFit="1" customWidth="1"/>
    <col min="3588" max="3588" width="15.1796875" style="55" customWidth="1"/>
    <col min="3589" max="3589" width="19.453125" style="55" bestFit="1" customWidth="1"/>
    <col min="3590" max="3590" width="19.1796875" style="55" bestFit="1" customWidth="1"/>
    <col min="3591" max="3591" width="12.81640625" style="55" customWidth="1"/>
    <col min="3592" max="3592" width="16.26953125" style="55" bestFit="1" customWidth="1"/>
    <col min="3593" max="3593" width="20.54296875" style="55" bestFit="1" customWidth="1"/>
    <col min="3594" max="3594" width="23.54296875" style="55" bestFit="1" customWidth="1"/>
    <col min="3595" max="3595" width="22.81640625" style="55" bestFit="1" customWidth="1"/>
    <col min="3596" max="3596" width="12.453125" style="55" bestFit="1" customWidth="1"/>
    <col min="3597" max="3597" width="16.453125" style="55" bestFit="1" customWidth="1"/>
    <col min="3598" max="3598" width="18.453125" style="55" bestFit="1" customWidth="1"/>
    <col min="3599" max="3836" width="8.7265625" style="55"/>
    <col min="3837" max="3837" width="18" style="55" bestFit="1" customWidth="1"/>
    <col min="3838" max="3838" width="24.81640625" style="55" bestFit="1" customWidth="1"/>
    <col min="3839" max="3839" width="14.7265625" style="55" bestFit="1" customWidth="1"/>
    <col min="3840" max="3840" width="17.26953125" style="55" bestFit="1" customWidth="1"/>
    <col min="3841" max="3841" width="11.81640625" style="55" bestFit="1" customWidth="1"/>
    <col min="3842" max="3842" width="14.7265625" style="55" bestFit="1" customWidth="1"/>
    <col min="3843" max="3843" width="16.1796875" style="55" bestFit="1" customWidth="1"/>
    <col min="3844" max="3844" width="15.1796875" style="55" customWidth="1"/>
    <col min="3845" max="3845" width="19.453125" style="55" bestFit="1" customWidth="1"/>
    <col min="3846" max="3846" width="19.1796875" style="55" bestFit="1" customWidth="1"/>
    <col min="3847" max="3847" width="12.81640625" style="55" customWidth="1"/>
    <col min="3848" max="3848" width="16.26953125" style="55" bestFit="1" customWidth="1"/>
    <col min="3849" max="3849" width="20.54296875" style="55" bestFit="1" customWidth="1"/>
    <col min="3850" max="3850" width="23.54296875" style="55" bestFit="1" customWidth="1"/>
    <col min="3851" max="3851" width="22.81640625" style="55" bestFit="1" customWidth="1"/>
    <col min="3852" max="3852" width="12.453125" style="55" bestFit="1" customWidth="1"/>
    <col min="3853" max="3853" width="16.453125" style="55" bestFit="1" customWidth="1"/>
    <col min="3854" max="3854" width="18.453125" style="55" bestFit="1" customWidth="1"/>
    <col min="3855" max="4092" width="8.7265625" style="55"/>
    <col min="4093" max="4093" width="18" style="55" bestFit="1" customWidth="1"/>
    <col min="4094" max="4094" width="24.81640625" style="55" bestFit="1" customWidth="1"/>
    <col min="4095" max="4095" width="14.7265625" style="55" bestFit="1" customWidth="1"/>
    <col min="4096" max="4096" width="17.26953125" style="55" bestFit="1" customWidth="1"/>
    <col min="4097" max="4097" width="11.81640625" style="55" bestFit="1" customWidth="1"/>
    <col min="4098" max="4098" width="14.7265625" style="55" bestFit="1" customWidth="1"/>
    <col min="4099" max="4099" width="16.1796875" style="55" bestFit="1" customWidth="1"/>
    <col min="4100" max="4100" width="15.1796875" style="55" customWidth="1"/>
    <col min="4101" max="4101" width="19.453125" style="55" bestFit="1" customWidth="1"/>
    <col min="4102" max="4102" width="19.1796875" style="55" bestFit="1" customWidth="1"/>
    <col min="4103" max="4103" width="12.81640625" style="55" customWidth="1"/>
    <col min="4104" max="4104" width="16.26953125" style="55" bestFit="1" customWidth="1"/>
    <col min="4105" max="4105" width="20.54296875" style="55" bestFit="1" customWidth="1"/>
    <col min="4106" max="4106" width="23.54296875" style="55" bestFit="1" customWidth="1"/>
    <col min="4107" max="4107" width="22.81640625" style="55" bestFit="1" customWidth="1"/>
    <col min="4108" max="4108" width="12.453125" style="55" bestFit="1" customWidth="1"/>
    <col min="4109" max="4109" width="16.453125" style="55" bestFit="1" customWidth="1"/>
    <col min="4110" max="4110" width="18.453125" style="55" bestFit="1" customWidth="1"/>
    <col min="4111" max="4348" width="8.7265625" style="55"/>
    <col min="4349" max="4349" width="18" style="55" bestFit="1" customWidth="1"/>
    <col min="4350" max="4350" width="24.81640625" style="55" bestFit="1" customWidth="1"/>
    <col min="4351" max="4351" width="14.7265625" style="55" bestFit="1" customWidth="1"/>
    <col min="4352" max="4352" width="17.26953125" style="55" bestFit="1" customWidth="1"/>
    <col min="4353" max="4353" width="11.81640625" style="55" bestFit="1" customWidth="1"/>
    <col min="4354" max="4354" width="14.7265625" style="55" bestFit="1" customWidth="1"/>
    <col min="4355" max="4355" width="16.1796875" style="55" bestFit="1" customWidth="1"/>
    <col min="4356" max="4356" width="15.1796875" style="55" customWidth="1"/>
    <col min="4357" max="4357" width="19.453125" style="55" bestFit="1" customWidth="1"/>
    <col min="4358" max="4358" width="19.1796875" style="55" bestFit="1" customWidth="1"/>
    <col min="4359" max="4359" width="12.81640625" style="55" customWidth="1"/>
    <col min="4360" max="4360" width="16.26953125" style="55" bestFit="1" customWidth="1"/>
    <col min="4361" max="4361" width="20.54296875" style="55" bestFit="1" customWidth="1"/>
    <col min="4362" max="4362" width="23.54296875" style="55" bestFit="1" customWidth="1"/>
    <col min="4363" max="4363" width="22.81640625" style="55" bestFit="1" customWidth="1"/>
    <col min="4364" max="4364" width="12.453125" style="55" bestFit="1" customWidth="1"/>
    <col min="4365" max="4365" width="16.453125" style="55" bestFit="1" customWidth="1"/>
    <col min="4366" max="4366" width="18.453125" style="55" bestFit="1" customWidth="1"/>
    <col min="4367" max="4604" width="8.7265625" style="55"/>
    <col min="4605" max="4605" width="18" style="55" bestFit="1" customWidth="1"/>
    <col min="4606" max="4606" width="24.81640625" style="55" bestFit="1" customWidth="1"/>
    <col min="4607" max="4607" width="14.7265625" style="55" bestFit="1" customWidth="1"/>
    <col min="4608" max="4608" width="17.26953125" style="55" bestFit="1" customWidth="1"/>
    <col min="4609" max="4609" width="11.81640625" style="55" bestFit="1" customWidth="1"/>
    <col min="4610" max="4610" width="14.7265625" style="55" bestFit="1" customWidth="1"/>
    <col min="4611" max="4611" width="16.1796875" style="55" bestFit="1" customWidth="1"/>
    <col min="4612" max="4612" width="15.1796875" style="55" customWidth="1"/>
    <col min="4613" max="4613" width="19.453125" style="55" bestFit="1" customWidth="1"/>
    <col min="4614" max="4614" width="19.1796875" style="55" bestFit="1" customWidth="1"/>
    <col min="4615" max="4615" width="12.81640625" style="55" customWidth="1"/>
    <col min="4616" max="4616" width="16.26953125" style="55" bestFit="1" customWidth="1"/>
    <col min="4617" max="4617" width="20.54296875" style="55" bestFit="1" customWidth="1"/>
    <col min="4618" max="4618" width="23.54296875" style="55" bestFit="1" customWidth="1"/>
    <col min="4619" max="4619" width="22.81640625" style="55" bestFit="1" customWidth="1"/>
    <col min="4620" max="4620" width="12.453125" style="55" bestFit="1" customWidth="1"/>
    <col min="4621" max="4621" width="16.453125" style="55" bestFit="1" customWidth="1"/>
    <col min="4622" max="4622" width="18.453125" style="55" bestFit="1" customWidth="1"/>
    <col min="4623" max="4860" width="8.7265625" style="55"/>
    <col min="4861" max="4861" width="18" style="55" bestFit="1" customWidth="1"/>
    <col min="4862" max="4862" width="24.81640625" style="55" bestFit="1" customWidth="1"/>
    <col min="4863" max="4863" width="14.7265625" style="55" bestFit="1" customWidth="1"/>
    <col min="4864" max="4864" width="17.26953125" style="55" bestFit="1" customWidth="1"/>
    <col min="4865" max="4865" width="11.81640625" style="55" bestFit="1" customWidth="1"/>
    <col min="4866" max="4866" width="14.7265625" style="55" bestFit="1" customWidth="1"/>
    <col min="4867" max="4867" width="16.1796875" style="55" bestFit="1" customWidth="1"/>
    <col min="4868" max="4868" width="15.1796875" style="55" customWidth="1"/>
    <col min="4869" max="4869" width="19.453125" style="55" bestFit="1" customWidth="1"/>
    <col min="4870" max="4870" width="19.1796875" style="55" bestFit="1" customWidth="1"/>
    <col min="4871" max="4871" width="12.81640625" style="55" customWidth="1"/>
    <col min="4872" max="4872" width="16.26953125" style="55" bestFit="1" customWidth="1"/>
    <col min="4873" max="4873" width="20.54296875" style="55" bestFit="1" customWidth="1"/>
    <col min="4874" max="4874" width="23.54296875" style="55" bestFit="1" customWidth="1"/>
    <col min="4875" max="4875" width="22.81640625" style="55" bestFit="1" customWidth="1"/>
    <col min="4876" max="4876" width="12.453125" style="55" bestFit="1" customWidth="1"/>
    <col min="4877" max="4877" width="16.453125" style="55" bestFit="1" customWidth="1"/>
    <col min="4878" max="4878" width="18.453125" style="55" bestFit="1" customWidth="1"/>
    <col min="4879" max="5116" width="8.7265625" style="55"/>
    <col min="5117" max="5117" width="18" style="55" bestFit="1" customWidth="1"/>
    <col min="5118" max="5118" width="24.81640625" style="55" bestFit="1" customWidth="1"/>
    <col min="5119" max="5119" width="14.7265625" style="55" bestFit="1" customWidth="1"/>
    <col min="5120" max="5120" width="17.26953125" style="55" bestFit="1" customWidth="1"/>
    <col min="5121" max="5121" width="11.81640625" style="55" bestFit="1" customWidth="1"/>
    <col min="5122" max="5122" width="14.7265625" style="55" bestFit="1" customWidth="1"/>
    <col min="5123" max="5123" width="16.1796875" style="55" bestFit="1" customWidth="1"/>
    <col min="5124" max="5124" width="15.1796875" style="55" customWidth="1"/>
    <col min="5125" max="5125" width="19.453125" style="55" bestFit="1" customWidth="1"/>
    <col min="5126" max="5126" width="19.1796875" style="55" bestFit="1" customWidth="1"/>
    <col min="5127" max="5127" width="12.81640625" style="55" customWidth="1"/>
    <col min="5128" max="5128" width="16.26953125" style="55" bestFit="1" customWidth="1"/>
    <col min="5129" max="5129" width="20.54296875" style="55" bestFit="1" customWidth="1"/>
    <col min="5130" max="5130" width="23.54296875" style="55" bestFit="1" customWidth="1"/>
    <col min="5131" max="5131" width="22.81640625" style="55" bestFit="1" customWidth="1"/>
    <col min="5132" max="5132" width="12.453125" style="55" bestFit="1" customWidth="1"/>
    <col min="5133" max="5133" width="16.453125" style="55" bestFit="1" customWidth="1"/>
    <col min="5134" max="5134" width="18.453125" style="55" bestFit="1" customWidth="1"/>
    <col min="5135" max="5372" width="8.7265625" style="55"/>
    <col min="5373" max="5373" width="18" style="55" bestFit="1" customWidth="1"/>
    <col min="5374" max="5374" width="24.81640625" style="55" bestFit="1" customWidth="1"/>
    <col min="5375" max="5375" width="14.7265625" style="55" bestFit="1" customWidth="1"/>
    <col min="5376" max="5376" width="17.26953125" style="55" bestFit="1" customWidth="1"/>
    <col min="5377" max="5377" width="11.81640625" style="55" bestFit="1" customWidth="1"/>
    <col min="5378" max="5378" width="14.7265625" style="55" bestFit="1" customWidth="1"/>
    <col min="5379" max="5379" width="16.1796875" style="55" bestFit="1" customWidth="1"/>
    <col min="5380" max="5380" width="15.1796875" style="55" customWidth="1"/>
    <col min="5381" max="5381" width="19.453125" style="55" bestFit="1" customWidth="1"/>
    <col min="5382" max="5382" width="19.1796875" style="55" bestFit="1" customWidth="1"/>
    <col min="5383" max="5383" width="12.81640625" style="55" customWidth="1"/>
    <col min="5384" max="5384" width="16.26953125" style="55" bestFit="1" customWidth="1"/>
    <col min="5385" max="5385" width="20.54296875" style="55" bestFit="1" customWidth="1"/>
    <col min="5386" max="5386" width="23.54296875" style="55" bestFit="1" customWidth="1"/>
    <col min="5387" max="5387" width="22.81640625" style="55" bestFit="1" customWidth="1"/>
    <col min="5388" max="5388" width="12.453125" style="55" bestFit="1" customWidth="1"/>
    <col min="5389" max="5389" width="16.453125" style="55" bestFit="1" customWidth="1"/>
    <col min="5390" max="5390" width="18.453125" style="55" bestFit="1" customWidth="1"/>
    <col min="5391" max="5628" width="8.7265625" style="55"/>
    <col min="5629" max="5629" width="18" style="55" bestFit="1" customWidth="1"/>
    <col min="5630" max="5630" width="24.81640625" style="55" bestFit="1" customWidth="1"/>
    <col min="5631" max="5631" width="14.7265625" style="55" bestFit="1" customWidth="1"/>
    <col min="5632" max="5632" width="17.26953125" style="55" bestFit="1" customWidth="1"/>
    <col min="5633" max="5633" width="11.81640625" style="55" bestFit="1" customWidth="1"/>
    <col min="5634" max="5634" width="14.7265625" style="55" bestFit="1" customWidth="1"/>
    <col min="5635" max="5635" width="16.1796875" style="55" bestFit="1" customWidth="1"/>
    <col min="5636" max="5636" width="15.1796875" style="55" customWidth="1"/>
    <col min="5637" max="5637" width="19.453125" style="55" bestFit="1" customWidth="1"/>
    <col min="5638" max="5638" width="19.1796875" style="55" bestFit="1" customWidth="1"/>
    <col min="5639" max="5639" width="12.81640625" style="55" customWidth="1"/>
    <col min="5640" max="5640" width="16.26953125" style="55" bestFit="1" customWidth="1"/>
    <col min="5641" max="5641" width="20.54296875" style="55" bestFit="1" customWidth="1"/>
    <col min="5642" max="5642" width="23.54296875" style="55" bestFit="1" customWidth="1"/>
    <col min="5643" max="5643" width="22.81640625" style="55" bestFit="1" customWidth="1"/>
    <col min="5644" max="5644" width="12.453125" style="55" bestFit="1" customWidth="1"/>
    <col min="5645" max="5645" width="16.453125" style="55" bestFit="1" customWidth="1"/>
    <col min="5646" max="5646" width="18.453125" style="55" bestFit="1" customWidth="1"/>
    <col min="5647" max="5884" width="8.7265625" style="55"/>
    <col min="5885" max="5885" width="18" style="55" bestFit="1" customWidth="1"/>
    <col min="5886" max="5886" width="24.81640625" style="55" bestFit="1" customWidth="1"/>
    <col min="5887" max="5887" width="14.7265625" style="55" bestFit="1" customWidth="1"/>
    <col min="5888" max="5888" width="17.26953125" style="55" bestFit="1" customWidth="1"/>
    <col min="5889" max="5889" width="11.81640625" style="55" bestFit="1" customWidth="1"/>
    <col min="5890" max="5890" width="14.7265625" style="55" bestFit="1" customWidth="1"/>
    <col min="5891" max="5891" width="16.1796875" style="55" bestFit="1" customWidth="1"/>
    <col min="5892" max="5892" width="15.1796875" style="55" customWidth="1"/>
    <col min="5893" max="5893" width="19.453125" style="55" bestFit="1" customWidth="1"/>
    <col min="5894" max="5894" width="19.1796875" style="55" bestFit="1" customWidth="1"/>
    <col min="5895" max="5895" width="12.81640625" style="55" customWidth="1"/>
    <col min="5896" max="5896" width="16.26953125" style="55" bestFit="1" customWidth="1"/>
    <col min="5897" max="5897" width="20.54296875" style="55" bestFit="1" customWidth="1"/>
    <col min="5898" max="5898" width="23.54296875" style="55" bestFit="1" customWidth="1"/>
    <col min="5899" max="5899" width="22.81640625" style="55" bestFit="1" customWidth="1"/>
    <col min="5900" max="5900" width="12.453125" style="55" bestFit="1" customWidth="1"/>
    <col min="5901" max="5901" width="16.453125" style="55" bestFit="1" customWidth="1"/>
    <col min="5902" max="5902" width="18.453125" style="55" bestFit="1" customWidth="1"/>
    <col min="5903" max="6140" width="8.7265625" style="55"/>
    <col min="6141" max="6141" width="18" style="55" bestFit="1" customWidth="1"/>
    <col min="6142" max="6142" width="24.81640625" style="55" bestFit="1" customWidth="1"/>
    <col min="6143" max="6143" width="14.7265625" style="55" bestFit="1" customWidth="1"/>
    <col min="6144" max="6144" width="17.26953125" style="55" bestFit="1" customWidth="1"/>
    <col min="6145" max="6145" width="11.81640625" style="55" bestFit="1" customWidth="1"/>
    <col min="6146" max="6146" width="14.7265625" style="55" bestFit="1" customWidth="1"/>
    <col min="6147" max="6147" width="16.1796875" style="55" bestFit="1" customWidth="1"/>
    <col min="6148" max="6148" width="15.1796875" style="55" customWidth="1"/>
    <col min="6149" max="6149" width="19.453125" style="55" bestFit="1" customWidth="1"/>
    <col min="6150" max="6150" width="19.1796875" style="55" bestFit="1" customWidth="1"/>
    <col min="6151" max="6151" width="12.81640625" style="55" customWidth="1"/>
    <col min="6152" max="6152" width="16.26953125" style="55" bestFit="1" customWidth="1"/>
    <col min="6153" max="6153" width="20.54296875" style="55" bestFit="1" customWidth="1"/>
    <col min="6154" max="6154" width="23.54296875" style="55" bestFit="1" customWidth="1"/>
    <col min="6155" max="6155" width="22.81640625" style="55" bestFit="1" customWidth="1"/>
    <col min="6156" max="6156" width="12.453125" style="55" bestFit="1" customWidth="1"/>
    <col min="6157" max="6157" width="16.453125" style="55" bestFit="1" customWidth="1"/>
    <col min="6158" max="6158" width="18.453125" style="55" bestFit="1" customWidth="1"/>
    <col min="6159" max="6396" width="8.7265625" style="55"/>
    <col min="6397" max="6397" width="18" style="55" bestFit="1" customWidth="1"/>
    <col min="6398" max="6398" width="24.81640625" style="55" bestFit="1" customWidth="1"/>
    <col min="6399" max="6399" width="14.7265625" style="55" bestFit="1" customWidth="1"/>
    <col min="6400" max="6400" width="17.26953125" style="55" bestFit="1" customWidth="1"/>
    <col min="6401" max="6401" width="11.81640625" style="55" bestFit="1" customWidth="1"/>
    <col min="6402" max="6402" width="14.7265625" style="55" bestFit="1" customWidth="1"/>
    <col min="6403" max="6403" width="16.1796875" style="55" bestFit="1" customWidth="1"/>
    <col min="6404" max="6404" width="15.1796875" style="55" customWidth="1"/>
    <col min="6405" max="6405" width="19.453125" style="55" bestFit="1" customWidth="1"/>
    <col min="6406" max="6406" width="19.1796875" style="55" bestFit="1" customWidth="1"/>
    <col min="6407" max="6407" width="12.81640625" style="55" customWidth="1"/>
    <col min="6408" max="6408" width="16.26953125" style="55" bestFit="1" customWidth="1"/>
    <col min="6409" max="6409" width="20.54296875" style="55" bestFit="1" customWidth="1"/>
    <col min="6410" max="6410" width="23.54296875" style="55" bestFit="1" customWidth="1"/>
    <col min="6411" max="6411" width="22.81640625" style="55" bestFit="1" customWidth="1"/>
    <col min="6412" max="6412" width="12.453125" style="55" bestFit="1" customWidth="1"/>
    <col min="6413" max="6413" width="16.453125" style="55" bestFit="1" customWidth="1"/>
    <col min="6414" max="6414" width="18.453125" style="55" bestFit="1" customWidth="1"/>
    <col min="6415" max="6652" width="8.7265625" style="55"/>
    <col min="6653" max="6653" width="18" style="55" bestFit="1" customWidth="1"/>
    <col min="6654" max="6654" width="24.81640625" style="55" bestFit="1" customWidth="1"/>
    <col min="6655" max="6655" width="14.7265625" style="55" bestFit="1" customWidth="1"/>
    <col min="6656" max="6656" width="17.26953125" style="55" bestFit="1" customWidth="1"/>
    <col min="6657" max="6657" width="11.81640625" style="55" bestFit="1" customWidth="1"/>
    <col min="6658" max="6658" width="14.7265625" style="55" bestFit="1" customWidth="1"/>
    <col min="6659" max="6659" width="16.1796875" style="55" bestFit="1" customWidth="1"/>
    <col min="6660" max="6660" width="15.1796875" style="55" customWidth="1"/>
    <col min="6661" max="6661" width="19.453125" style="55" bestFit="1" customWidth="1"/>
    <col min="6662" max="6662" width="19.1796875" style="55" bestFit="1" customWidth="1"/>
    <col min="6663" max="6663" width="12.81640625" style="55" customWidth="1"/>
    <col min="6664" max="6664" width="16.26953125" style="55" bestFit="1" customWidth="1"/>
    <col min="6665" max="6665" width="20.54296875" style="55" bestFit="1" customWidth="1"/>
    <col min="6666" max="6666" width="23.54296875" style="55" bestFit="1" customWidth="1"/>
    <col min="6667" max="6667" width="22.81640625" style="55" bestFit="1" customWidth="1"/>
    <col min="6668" max="6668" width="12.453125" style="55" bestFit="1" customWidth="1"/>
    <col min="6669" max="6669" width="16.453125" style="55" bestFit="1" customWidth="1"/>
    <col min="6670" max="6670" width="18.453125" style="55" bestFit="1" customWidth="1"/>
    <col min="6671" max="6908" width="8.7265625" style="55"/>
    <col min="6909" max="6909" width="18" style="55" bestFit="1" customWidth="1"/>
    <col min="6910" max="6910" width="24.81640625" style="55" bestFit="1" customWidth="1"/>
    <col min="6911" max="6911" width="14.7265625" style="55" bestFit="1" customWidth="1"/>
    <col min="6912" max="6912" width="17.26953125" style="55" bestFit="1" customWidth="1"/>
    <col min="6913" max="6913" width="11.81640625" style="55" bestFit="1" customWidth="1"/>
    <col min="6914" max="6914" width="14.7265625" style="55" bestFit="1" customWidth="1"/>
    <col min="6915" max="6915" width="16.1796875" style="55" bestFit="1" customWidth="1"/>
    <col min="6916" max="6916" width="15.1796875" style="55" customWidth="1"/>
    <col min="6917" max="6917" width="19.453125" style="55" bestFit="1" customWidth="1"/>
    <col min="6918" max="6918" width="19.1796875" style="55" bestFit="1" customWidth="1"/>
    <col min="6919" max="6919" width="12.81640625" style="55" customWidth="1"/>
    <col min="6920" max="6920" width="16.26953125" style="55" bestFit="1" customWidth="1"/>
    <col min="6921" max="6921" width="20.54296875" style="55" bestFit="1" customWidth="1"/>
    <col min="6922" max="6922" width="23.54296875" style="55" bestFit="1" customWidth="1"/>
    <col min="6923" max="6923" width="22.81640625" style="55" bestFit="1" customWidth="1"/>
    <col min="6924" max="6924" width="12.453125" style="55" bestFit="1" customWidth="1"/>
    <col min="6925" max="6925" width="16.453125" style="55" bestFit="1" customWidth="1"/>
    <col min="6926" max="6926" width="18.453125" style="55" bestFit="1" customWidth="1"/>
    <col min="6927" max="7164" width="8.7265625" style="55"/>
    <col min="7165" max="7165" width="18" style="55" bestFit="1" customWidth="1"/>
    <col min="7166" max="7166" width="24.81640625" style="55" bestFit="1" customWidth="1"/>
    <col min="7167" max="7167" width="14.7265625" style="55" bestFit="1" customWidth="1"/>
    <col min="7168" max="7168" width="17.26953125" style="55" bestFit="1" customWidth="1"/>
    <col min="7169" max="7169" width="11.81640625" style="55" bestFit="1" customWidth="1"/>
    <col min="7170" max="7170" width="14.7265625" style="55" bestFit="1" customWidth="1"/>
    <col min="7171" max="7171" width="16.1796875" style="55" bestFit="1" customWidth="1"/>
    <col min="7172" max="7172" width="15.1796875" style="55" customWidth="1"/>
    <col min="7173" max="7173" width="19.453125" style="55" bestFit="1" customWidth="1"/>
    <col min="7174" max="7174" width="19.1796875" style="55" bestFit="1" customWidth="1"/>
    <col min="7175" max="7175" width="12.81640625" style="55" customWidth="1"/>
    <col min="7176" max="7176" width="16.26953125" style="55" bestFit="1" customWidth="1"/>
    <col min="7177" max="7177" width="20.54296875" style="55" bestFit="1" customWidth="1"/>
    <col min="7178" max="7178" width="23.54296875" style="55" bestFit="1" customWidth="1"/>
    <col min="7179" max="7179" width="22.81640625" style="55" bestFit="1" customWidth="1"/>
    <col min="7180" max="7180" width="12.453125" style="55" bestFit="1" customWidth="1"/>
    <col min="7181" max="7181" width="16.453125" style="55" bestFit="1" customWidth="1"/>
    <col min="7182" max="7182" width="18.453125" style="55" bestFit="1" customWidth="1"/>
    <col min="7183" max="7420" width="8.7265625" style="55"/>
    <col min="7421" max="7421" width="18" style="55" bestFit="1" customWidth="1"/>
    <col min="7422" max="7422" width="24.81640625" style="55" bestFit="1" customWidth="1"/>
    <col min="7423" max="7423" width="14.7265625" style="55" bestFit="1" customWidth="1"/>
    <col min="7424" max="7424" width="17.26953125" style="55" bestFit="1" customWidth="1"/>
    <col min="7425" max="7425" width="11.81640625" style="55" bestFit="1" customWidth="1"/>
    <col min="7426" max="7426" width="14.7265625" style="55" bestFit="1" customWidth="1"/>
    <col min="7427" max="7427" width="16.1796875" style="55" bestFit="1" customWidth="1"/>
    <col min="7428" max="7428" width="15.1796875" style="55" customWidth="1"/>
    <col min="7429" max="7429" width="19.453125" style="55" bestFit="1" customWidth="1"/>
    <col min="7430" max="7430" width="19.1796875" style="55" bestFit="1" customWidth="1"/>
    <col min="7431" max="7431" width="12.81640625" style="55" customWidth="1"/>
    <col min="7432" max="7432" width="16.26953125" style="55" bestFit="1" customWidth="1"/>
    <col min="7433" max="7433" width="20.54296875" style="55" bestFit="1" customWidth="1"/>
    <col min="7434" max="7434" width="23.54296875" style="55" bestFit="1" customWidth="1"/>
    <col min="7435" max="7435" width="22.81640625" style="55" bestFit="1" customWidth="1"/>
    <col min="7436" max="7436" width="12.453125" style="55" bestFit="1" customWidth="1"/>
    <col min="7437" max="7437" width="16.453125" style="55" bestFit="1" customWidth="1"/>
    <col min="7438" max="7438" width="18.453125" style="55" bestFit="1" customWidth="1"/>
    <col min="7439" max="7676" width="8.7265625" style="55"/>
    <col min="7677" max="7677" width="18" style="55" bestFit="1" customWidth="1"/>
    <col min="7678" max="7678" width="24.81640625" style="55" bestFit="1" customWidth="1"/>
    <col min="7679" max="7679" width="14.7265625" style="55" bestFit="1" customWidth="1"/>
    <col min="7680" max="7680" width="17.26953125" style="55" bestFit="1" customWidth="1"/>
    <col min="7681" max="7681" width="11.81640625" style="55" bestFit="1" customWidth="1"/>
    <col min="7682" max="7682" width="14.7265625" style="55" bestFit="1" customWidth="1"/>
    <col min="7683" max="7683" width="16.1796875" style="55" bestFit="1" customWidth="1"/>
    <col min="7684" max="7684" width="15.1796875" style="55" customWidth="1"/>
    <col min="7685" max="7685" width="19.453125" style="55" bestFit="1" customWidth="1"/>
    <col min="7686" max="7686" width="19.1796875" style="55" bestFit="1" customWidth="1"/>
    <col min="7687" max="7687" width="12.81640625" style="55" customWidth="1"/>
    <col min="7688" max="7688" width="16.26953125" style="55" bestFit="1" customWidth="1"/>
    <col min="7689" max="7689" width="20.54296875" style="55" bestFit="1" customWidth="1"/>
    <col min="7690" max="7690" width="23.54296875" style="55" bestFit="1" customWidth="1"/>
    <col min="7691" max="7691" width="22.81640625" style="55" bestFit="1" customWidth="1"/>
    <col min="7692" max="7692" width="12.453125" style="55" bestFit="1" customWidth="1"/>
    <col min="7693" max="7693" width="16.453125" style="55" bestFit="1" customWidth="1"/>
    <col min="7694" max="7694" width="18.453125" style="55" bestFit="1" customWidth="1"/>
    <col min="7695" max="7932" width="8.7265625" style="55"/>
    <col min="7933" max="7933" width="18" style="55" bestFit="1" customWidth="1"/>
    <col min="7934" max="7934" width="24.81640625" style="55" bestFit="1" customWidth="1"/>
    <col min="7935" max="7935" width="14.7265625" style="55" bestFit="1" customWidth="1"/>
    <col min="7936" max="7936" width="17.26953125" style="55" bestFit="1" customWidth="1"/>
    <col min="7937" max="7937" width="11.81640625" style="55" bestFit="1" customWidth="1"/>
    <col min="7938" max="7938" width="14.7265625" style="55" bestFit="1" customWidth="1"/>
    <col min="7939" max="7939" width="16.1796875" style="55" bestFit="1" customWidth="1"/>
    <col min="7940" max="7940" width="15.1796875" style="55" customWidth="1"/>
    <col min="7941" max="7941" width="19.453125" style="55" bestFit="1" customWidth="1"/>
    <col min="7942" max="7942" width="19.1796875" style="55" bestFit="1" customWidth="1"/>
    <col min="7943" max="7943" width="12.81640625" style="55" customWidth="1"/>
    <col min="7944" max="7944" width="16.26953125" style="55" bestFit="1" customWidth="1"/>
    <col min="7945" max="7945" width="20.54296875" style="55" bestFit="1" customWidth="1"/>
    <col min="7946" max="7946" width="23.54296875" style="55" bestFit="1" customWidth="1"/>
    <col min="7947" max="7947" width="22.81640625" style="55" bestFit="1" customWidth="1"/>
    <col min="7948" max="7948" width="12.453125" style="55" bestFit="1" customWidth="1"/>
    <col min="7949" max="7949" width="16.453125" style="55" bestFit="1" customWidth="1"/>
    <col min="7950" max="7950" width="18.453125" style="55" bestFit="1" customWidth="1"/>
    <col min="7951" max="8188" width="8.7265625" style="55"/>
    <col min="8189" max="8189" width="18" style="55" bestFit="1" customWidth="1"/>
    <col min="8190" max="8190" width="24.81640625" style="55" bestFit="1" customWidth="1"/>
    <col min="8191" max="8191" width="14.7265625" style="55" bestFit="1" customWidth="1"/>
    <col min="8192" max="8192" width="17.26953125" style="55" bestFit="1" customWidth="1"/>
    <col min="8193" max="8193" width="11.81640625" style="55" bestFit="1" customWidth="1"/>
    <col min="8194" max="8194" width="14.7265625" style="55" bestFit="1" customWidth="1"/>
    <col min="8195" max="8195" width="16.1796875" style="55" bestFit="1" customWidth="1"/>
    <col min="8196" max="8196" width="15.1796875" style="55" customWidth="1"/>
    <col min="8197" max="8197" width="19.453125" style="55" bestFit="1" customWidth="1"/>
    <col min="8198" max="8198" width="19.1796875" style="55" bestFit="1" customWidth="1"/>
    <col min="8199" max="8199" width="12.81640625" style="55" customWidth="1"/>
    <col min="8200" max="8200" width="16.26953125" style="55" bestFit="1" customWidth="1"/>
    <col min="8201" max="8201" width="20.54296875" style="55" bestFit="1" customWidth="1"/>
    <col min="8202" max="8202" width="23.54296875" style="55" bestFit="1" customWidth="1"/>
    <col min="8203" max="8203" width="22.81640625" style="55" bestFit="1" customWidth="1"/>
    <col min="8204" max="8204" width="12.453125" style="55" bestFit="1" customWidth="1"/>
    <col min="8205" max="8205" width="16.453125" style="55" bestFit="1" customWidth="1"/>
    <col min="8206" max="8206" width="18.453125" style="55" bestFit="1" customWidth="1"/>
    <col min="8207" max="8444" width="8.7265625" style="55"/>
    <col min="8445" max="8445" width="18" style="55" bestFit="1" customWidth="1"/>
    <col min="8446" max="8446" width="24.81640625" style="55" bestFit="1" customWidth="1"/>
    <col min="8447" max="8447" width="14.7265625" style="55" bestFit="1" customWidth="1"/>
    <col min="8448" max="8448" width="17.26953125" style="55" bestFit="1" customWidth="1"/>
    <col min="8449" max="8449" width="11.81640625" style="55" bestFit="1" customWidth="1"/>
    <col min="8450" max="8450" width="14.7265625" style="55" bestFit="1" customWidth="1"/>
    <col min="8451" max="8451" width="16.1796875" style="55" bestFit="1" customWidth="1"/>
    <col min="8452" max="8452" width="15.1796875" style="55" customWidth="1"/>
    <col min="8453" max="8453" width="19.453125" style="55" bestFit="1" customWidth="1"/>
    <col min="8454" max="8454" width="19.1796875" style="55" bestFit="1" customWidth="1"/>
    <col min="8455" max="8455" width="12.81640625" style="55" customWidth="1"/>
    <col min="8456" max="8456" width="16.26953125" style="55" bestFit="1" customWidth="1"/>
    <col min="8457" max="8457" width="20.54296875" style="55" bestFit="1" customWidth="1"/>
    <col min="8458" max="8458" width="23.54296875" style="55" bestFit="1" customWidth="1"/>
    <col min="8459" max="8459" width="22.81640625" style="55" bestFit="1" customWidth="1"/>
    <col min="8460" max="8460" width="12.453125" style="55" bestFit="1" customWidth="1"/>
    <col min="8461" max="8461" width="16.453125" style="55" bestFit="1" customWidth="1"/>
    <col min="8462" max="8462" width="18.453125" style="55" bestFit="1" customWidth="1"/>
    <col min="8463" max="8700" width="8.7265625" style="55"/>
    <col min="8701" max="8701" width="18" style="55" bestFit="1" customWidth="1"/>
    <col min="8702" max="8702" width="24.81640625" style="55" bestFit="1" customWidth="1"/>
    <col min="8703" max="8703" width="14.7265625" style="55" bestFit="1" customWidth="1"/>
    <col min="8704" max="8704" width="17.26953125" style="55" bestFit="1" customWidth="1"/>
    <col min="8705" max="8705" width="11.81640625" style="55" bestFit="1" customWidth="1"/>
    <col min="8706" max="8706" width="14.7265625" style="55" bestFit="1" customWidth="1"/>
    <col min="8707" max="8707" width="16.1796875" style="55" bestFit="1" customWidth="1"/>
    <col min="8708" max="8708" width="15.1796875" style="55" customWidth="1"/>
    <col min="8709" max="8709" width="19.453125" style="55" bestFit="1" customWidth="1"/>
    <col min="8710" max="8710" width="19.1796875" style="55" bestFit="1" customWidth="1"/>
    <col min="8711" max="8711" width="12.81640625" style="55" customWidth="1"/>
    <col min="8712" max="8712" width="16.26953125" style="55" bestFit="1" customWidth="1"/>
    <col min="8713" max="8713" width="20.54296875" style="55" bestFit="1" customWidth="1"/>
    <col min="8714" max="8714" width="23.54296875" style="55" bestFit="1" customWidth="1"/>
    <col min="8715" max="8715" width="22.81640625" style="55" bestFit="1" customWidth="1"/>
    <col min="8716" max="8716" width="12.453125" style="55" bestFit="1" customWidth="1"/>
    <col min="8717" max="8717" width="16.453125" style="55" bestFit="1" customWidth="1"/>
    <col min="8718" max="8718" width="18.453125" style="55" bestFit="1" customWidth="1"/>
    <col min="8719" max="8956" width="8.7265625" style="55"/>
    <col min="8957" max="8957" width="18" style="55" bestFit="1" customWidth="1"/>
    <col min="8958" max="8958" width="24.81640625" style="55" bestFit="1" customWidth="1"/>
    <col min="8959" max="8959" width="14.7265625" style="55" bestFit="1" customWidth="1"/>
    <col min="8960" max="8960" width="17.26953125" style="55" bestFit="1" customWidth="1"/>
    <col min="8961" max="8961" width="11.81640625" style="55" bestFit="1" customWidth="1"/>
    <col min="8962" max="8962" width="14.7265625" style="55" bestFit="1" customWidth="1"/>
    <col min="8963" max="8963" width="16.1796875" style="55" bestFit="1" customWidth="1"/>
    <col min="8964" max="8964" width="15.1796875" style="55" customWidth="1"/>
    <col min="8965" max="8965" width="19.453125" style="55" bestFit="1" customWidth="1"/>
    <col min="8966" max="8966" width="19.1796875" style="55" bestFit="1" customWidth="1"/>
    <col min="8967" max="8967" width="12.81640625" style="55" customWidth="1"/>
    <col min="8968" max="8968" width="16.26953125" style="55" bestFit="1" customWidth="1"/>
    <col min="8969" max="8969" width="20.54296875" style="55" bestFit="1" customWidth="1"/>
    <col min="8970" max="8970" width="23.54296875" style="55" bestFit="1" customWidth="1"/>
    <col min="8971" max="8971" width="22.81640625" style="55" bestFit="1" customWidth="1"/>
    <col min="8972" max="8972" width="12.453125" style="55" bestFit="1" customWidth="1"/>
    <col min="8973" max="8973" width="16.453125" style="55" bestFit="1" customWidth="1"/>
    <col min="8974" max="8974" width="18.453125" style="55" bestFit="1" customWidth="1"/>
    <col min="8975" max="9212" width="8.7265625" style="55"/>
    <col min="9213" max="9213" width="18" style="55" bestFit="1" customWidth="1"/>
    <col min="9214" max="9214" width="24.81640625" style="55" bestFit="1" customWidth="1"/>
    <col min="9215" max="9215" width="14.7265625" style="55" bestFit="1" customWidth="1"/>
    <col min="9216" max="9216" width="17.26953125" style="55" bestFit="1" customWidth="1"/>
    <col min="9217" max="9217" width="11.81640625" style="55" bestFit="1" customWidth="1"/>
    <col min="9218" max="9218" width="14.7265625" style="55" bestFit="1" customWidth="1"/>
    <col min="9219" max="9219" width="16.1796875" style="55" bestFit="1" customWidth="1"/>
    <col min="9220" max="9220" width="15.1796875" style="55" customWidth="1"/>
    <col min="9221" max="9221" width="19.453125" style="55" bestFit="1" customWidth="1"/>
    <col min="9222" max="9222" width="19.1796875" style="55" bestFit="1" customWidth="1"/>
    <col min="9223" max="9223" width="12.81640625" style="55" customWidth="1"/>
    <col min="9224" max="9224" width="16.26953125" style="55" bestFit="1" customWidth="1"/>
    <col min="9225" max="9225" width="20.54296875" style="55" bestFit="1" customWidth="1"/>
    <col min="9226" max="9226" width="23.54296875" style="55" bestFit="1" customWidth="1"/>
    <col min="9227" max="9227" width="22.81640625" style="55" bestFit="1" customWidth="1"/>
    <col min="9228" max="9228" width="12.453125" style="55" bestFit="1" customWidth="1"/>
    <col min="9229" max="9229" width="16.453125" style="55" bestFit="1" customWidth="1"/>
    <col min="9230" max="9230" width="18.453125" style="55" bestFit="1" customWidth="1"/>
    <col min="9231" max="9468" width="8.7265625" style="55"/>
    <col min="9469" max="9469" width="18" style="55" bestFit="1" customWidth="1"/>
    <col min="9470" max="9470" width="24.81640625" style="55" bestFit="1" customWidth="1"/>
    <col min="9471" max="9471" width="14.7265625" style="55" bestFit="1" customWidth="1"/>
    <col min="9472" max="9472" width="17.26953125" style="55" bestFit="1" customWidth="1"/>
    <col min="9473" max="9473" width="11.81640625" style="55" bestFit="1" customWidth="1"/>
    <col min="9474" max="9474" width="14.7265625" style="55" bestFit="1" customWidth="1"/>
    <col min="9475" max="9475" width="16.1796875" style="55" bestFit="1" customWidth="1"/>
    <col min="9476" max="9476" width="15.1796875" style="55" customWidth="1"/>
    <col min="9477" max="9477" width="19.453125" style="55" bestFit="1" customWidth="1"/>
    <col min="9478" max="9478" width="19.1796875" style="55" bestFit="1" customWidth="1"/>
    <col min="9479" max="9479" width="12.81640625" style="55" customWidth="1"/>
    <col min="9480" max="9480" width="16.26953125" style="55" bestFit="1" customWidth="1"/>
    <col min="9481" max="9481" width="20.54296875" style="55" bestFit="1" customWidth="1"/>
    <col min="9482" max="9482" width="23.54296875" style="55" bestFit="1" customWidth="1"/>
    <col min="9483" max="9483" width="22.81640625" style="55" bestFit="1" customWidth="1"/>
    <col min="9484" max="9484" width="12.453125" style="55" bestFit="1" customWidth="1"/>
    <col min="9485" max="9485" width="16.453125" style="55" bestFit="1" customWidth="1"/>
    <col min="9486" max="9486" width="18.453125" style="55" bestFit="1" customWidth="1"/>
    <col min="9487" max="9724" width="8.7265625" style="55"/>
    <col min="9725" max="9725" width="18" style="55" bestFit="1" customWidth="1"/>
    <col min="9726" max="9726" width="24.81640625" style="55" bestFit="1" customWidth="1"/>
    <col min="9727" max="9727" width="14.7265625" style="55" bestFit="1" customWidth="1"/>
    <col min="9728" max="9728" width="17.26953125" style="55" bestFit="1" customWidth="1"/>
    <col min="9729" max="9729" width="11.81640625" style="55" bestFit="1" customWidth="1"/>
    <col min="9730" max="9730" width="14.7265625" style="55" bestFit="1" customWidth="1"/>
    <col min="9731" max="9731" width="16.1796875" style="55" bestFit="1" customWidth="1"/>
    <col min="9732" max="9732" width="15.1796875" style="55" customWidth="1"/>
    <col min="9733" max="9733" width="19.453125" style="55" bestFit="1" customWidth="1"/>
    <col min="9734" max="9734" width="19.1796875" style="55" bestFit="1" customWidth="1"/>
    <col min="9735" max="9735" width="12.81640625" style="55" customWidth="1"/>
    <col min="9736" max="9736" width="16.26953125" style="55" bestFit="1" customWidth="1"/>
    <col min="9737" max="9737" width="20.54296875" style="55" bestFit="1" customWidth="1"/>
    <col min="9738" max="9738" width="23.54296875" style="55" bestFit="1" customWidth="1"/>
    <col min="9739" max="9739" width="22.81640625" style="55" bestFit="1" customWidth="1"/>
    <col min="9740" max="9740" width="12.453125" style="55" bestFit="1" customWidth="1"/>
    <col min="9741" max="9741" width="16.453125" style="55" bestFit="1" customWidth="1"/>
    <col min="9742" max="9742" width="18.453125" style="55" bestFit="1" customWidth="1"/>
    <col min="9743" max="9980" width="8.7265625" style="55"/>
    <col min="9981" max="9981" width="18" style="55" bestFit="1" customWidth="1"/>
    <col min="9982" max="9982" width="24.81640625" style="55" bestFit="1" customWidth="1"/>
    <col min="9983" max="9983" width="14.7265625" style="55" bestFit="1" customWidth="1"/>
    <col min="9984" max="9984" width="17.26953125" style="55" bestFit="1" customWidth="1"/>
    <col min="9985" max="9985" width="11.81640625" style="55" bestFit="1" customWidth="1"/>
    <col min="9986" max="9986" width="14.7265625" style="55" bestFit="1" customWidth="1"/>
    <col min="9987" max="9987" width="16.1796875" style="55" bestFit="1" customWidth="1"/>
    <col min="9988" max="9988" width="15.1796875" style="55" customWidth="1"/>
    <col min="9989" max="9989" width="19.453125" style="55" bestFit="1" customWidth="1"/>
    <col min="9990" max="9990" width="19.1796875" style="55" bestFit="1" customWidth="1"/>
    <col min="9991" max="9991" width="12.81640625" style="55" customWidth="1"/>
    <col min="9992" max="9992" width="16.26953125" style="55" bestFit="1" customWidth="1"/>
    <col min="9993" max="9993" width="20.54296875" style="55" bestFit="1" customWidth="1"/>
    <col min="9994" max="9994" width="23.54296875" style="55" bestFit="1" customWidth="1"/>
    <col min="9995" max="9995" width="22.81640625" style="55" bestFit="1" customWidth="1"/>
    <col min="9996" max="9996" width="12.453125" style="55" bestFit="1" customWidth="1"/>
    <col min="9997" max="9997" width="16.453125" style="55" bestFit="1" customWidth="1"/>
    <col min="9998" max="9998" width="18.453125" style="55" bestFit="1" customWidth="1"/>
    <col min="9999" max="10236" width="8.7265625" style="55"/>
    <col min="10237" max="10237" width="18" style="55" bestFit="1" customWidth="1"/>
    <col min="10238" max="10238" width="24.81640625" style="55" bestFit="1" customWidth="1"/>
    <col min="10239" max="10239" width="14.7265625" style="55" bestFit="1" customWidth="1"/>
    <col min="10240" max="10240" width="17.26953125" style="55" bestFit="1" customWidth="1"/>
    <col min="10241" max="10241" width="11.81640625" style="55" bestFit="1" customWidth="1"/>
    <col min="10242" max="10242" width="14.7265625" style="55" bestFit="1" customWidth="1"/>
    <col min="10243" max="10243" width="16.1796875" style="55" bestFit="1" customWidth="1"/>
    <col min="10244" max="10244" width="15.1796875" style="55" customWidth="1"/>
    <col min="10245" max="10245" width="19.453125" style="55" bestFit="1" customWidth="1"/>
    <col min="10246" max="10246" width="19.1796875" style="55" bestFit="1" customWidth="1"/>
    <col min="10247" max="10247" width="12.81640625" style="55" customWidth="1"/>
    <col min="10248" max="10248" width="16.26953125" style="55" bestFit="1" customWidth="1"/>
    <col min="10249" max="10249" width="20.54296875" style="55" bestFit="1" customWidth="1"/>
    <col min="10250" max="10250" width="23.54296875" style="55" bestFit="1" customWidth="1"/>
    <col min="10251" max="10251" width="22.81640625" style="55" bestFit="1" customWidth="1"/>
    <col min="10252" max="10252" width="12.453125" style="55" bestFit="1" customWidth="1"/>
    <col min="10253" max="10253" width="16.453125" style="55" bestFit="1" customWidth="1"/>
    <col min="10254" max="10254" width="18.453125" style="55" bestFit="1" customWidth="1"/>
    <col min="10255" max="10492" width="8.7265625" style="55"/>
    <col min="10493" max="10493" width="18" style="55" bestFit="1" customWidth="1"/>
    <col min="10494" max="10494" width="24.81640625" style="55" bestFit="1" customWidth="1"/>
    <col min="10495" max="10495" width="14.7265625" style="55" bestFit="1" customWidth="1"/>
    <col min="10496" max="10496" width="17.26953125" style="55" bestFit="1" customWidth="1"/>
    <col min="10497" max="10497" width="11.81640625" style="55" bestFit="1" customWidth="1"/>
    <col min="10498" max="10498" width="14.7265625" style="55" bestFit="1" customWidth="1"/>
    <col min="10499" max="10499" width="16.1796875" style="55" bestFit="1" customWidth="1"/>
    <col min="10500" max="10500" width="15.1796875" style="55" customWidth="1"/>
    <col min="10501" max="10501" width="19.453125" style="55" bestFit="1" customWidth="1"/>
    <col min="10502" max="10502" width="19.1796875" style="55" bestFit="1" customWidth="1"/>
    <col min="10503" max="10503" width="12.81640625" style="55" customWidth="1"/>
    <col min="10504" max="10504" width="16.26953125" style="55" bestFit="1" customWidth="1"/>
    <col min="10505" max="10505" width="20.54296875" style="55" bestFit="1" customWidth="1"/>
    <col min="10506" max="10506" width="23.54296875" style="55" bestFit="1" customWidth="1"/>
    <col min="10507" max="10507" width="22.81640625" style="55" bestFit="1" customWidth="1"/>
    <col min="10508" max="10508" width="12.453125" style="55" bestFit="1" customWidth="1"/>
    <col min="10509" max="10509" width="16.453125" style="55" bestFit="1" customWidth="1"/>
    <col min="10510" max="10510" width="18.453125" style="55" bestFit="1" customWidth="1"/>
    <col min="10511" max="10748" width="8.7265625" style="55"/>
    <col min="10749" max="10749" width="18" style="55" bestFit="1" customWidth="1"/>
    <col min="10750" max="10750" width="24.81640625" style="55" bestFit="1" customWidth="1"/>
    <col min="10751" max="10751" width="14.7265625" style="55" bestFit="1" customWidth="1"/>
    <col min="10752" max="10752" width="17.26953125" style="55" bestFit="1" customWidth="1"/>
    <col min="10753" max="10753" width="11.81640625" style="55" bestFit="1" customWidth="1"/>
    <col min="10754" max="10754" width="14.7265625" style="55" bestFit="1" customWidth="1"/>
    <col min="10755" max="10755" width="16.1796875" style="55" bestFit="1" customWidth="1"/>
    <col min="10756" max="10756" width="15.1796875" style="55" customWidth="1"/>
    <col min="10757" max="10757" width="19.453125" style="55" bestFit="1" customWidth="1"/>
    <col min="10758" max="10758" width="19.1796875" style="55" bestFit="1" customWidth="1"/>
    <col min="10759" max="10759" width="12.81640625" style="55" customWidth="1"/>
    <col min="10760" max="10760" width="16.26953125" style="55" bestFit="1" customWidth="1"/>
    <col min="10761" max="10761" width="20.54296875" style="55" bestFit="1" customWidth="1"/>
    <col min="10762" max="10762" width="23.54296875" style="55" bestFit="1" customWidth="1"/>
    <col min="10763" max="10763" width="22.81640625" style="55" bestFit="1" customWidth="1"/>
    <col min="10764" max="10764" width="12.453125" style="55" bestFit="1" customWidth="1"/>
    <col min="10765" max="10765" width="16.453125" style="55" bestFit="1" customWidth="1"/>
    <col min="10766" max="10766" width="18.453125" style="55" bestFit="1" customWidth="1"/>
    <col min="10767" max="11004" width="8.7265625" style="55"/>
    <col min="11005" max="11005" width="18" style="55" bestFit="1" customWidth="1"/>
    <col min="11006" max="11006" width="24.81640625" style="55" bestFit="1" customWidth="1"/>
    <col min="11007" max="11007" width="14.7265625" style="55" bestFit="1" customWidth="1"/>
    <col min="11008" max="11008" width="17.26953125" style="55" bestFit="1" customWidth="1"/>
    <col min="11009" max="11009" width="11.81640625" style="55" bestFit="1" customWidth="1"/>
    <col min="11010" max="11010" width="14.7265625" style="55" bestFit="1" customWidth="1"/>
    <col min="11011" max="11011" width="16.1796875" style="55" bestFit="1" customWidth="1"/>
    <col min="11012" max="11012" width="15.1796875" style="55" customWidth="1"/>
    <col min="11013" max="11013" width="19.453125" style="55" bestFit="1" customWidth="1"/>
    <col min="11014" max="11014" width="19.1796875" style="55" bestFit="1" customWidth="1"/>
    <col min="11015" max="11015" width="12.81640625" style="55" customWidth="1"/>
    <col min="11016" max="11016" width="16.26953125" style="55" bestFit="1" customWidth="1"/>
    <col min="11017" max="11017" width="20.54296875" style="55" bestFit="1" customWidth="1"/>
    <col min="11018" max="11018" width="23.54296875" style="55" bestFit="1" customWidth="1"/>
    <col min="11019" max="11019" width="22.81640625" style="55" bestFit="1" customWidth="1"/>
    <col min="11020" max="11020" width="12.453125" style="55" bestFit="1" customWidth="1"/>
    <col min="11021" max="11021" width="16.453125" style="55" bestFit="1" customWidth="1"/>
    <col min="11022" max="11022" width="18.453125" style="55" bestFit="1" customWidth="1"/>
    <col min="11023" max="11260" width="8.7265625" style="55"/>
    <col min="11261" max="11261" width="18" style="55" bestFit="1" customWidth="1"/>
    <col min="11262" max="11262" width="24.81640625" style="55" bestFit="1" customWidth="1"/>
    <col min="11263" max="11263" width="14.7265625" style="55" bestFit="1" customWidth="1"/>
    <col min="11264" max="11264" width="17.26953125" style="55" bestFit="1" customWidth="1"/>
    <col min="11265" max="11265" width="11.81640625" style="55" bestFit="1" customWidth="1"/>
    <col min="11266" max="11266" width="14.7265625" style="55" bestFit="1" customWidth="1"/>
    <col min="11267" max="11267" width="16.1796875" style="55" bestFit="1" customWidth="1"/>
    <col min="11268" max="11268" width="15.1796875" style="55" customWidth="1"/>
    <col min="11269" max="11269" width="19.453125" style="55" bestFit="1" customWidth="1"/>
    <col min="11270" max="11270" width="19.1796875" style="55" bestFit="1" customWidth="1"/>
    <col min="11271" max="11271" width="12.81640625" style="55" customWidth="1"/>
    <col min="11272" max="11272" width="16.26953125" style="55" bestFit="1" customWidth="1"/>
    <col min="11273" max="11273" width="20.54296875" style="55" bestFit="1" customWidth="1"/>
    <col min="11274" max="11274" width="23.54296875" style="55" bestFit="1" customWidth="1"/>
    <col min="11275" max="11275" width="22.81640625" style="55" bestFit="1" customWidth="1"/>
    <col min="11276" max="11276" width="12.453125" style="55" bestFit="1" customWidth="1"/>
    <col min="11277" max="11277" width="16.453125" style="55" bestFit="1" customWidth="1"/>
    <col min="11278" max="11278" width="18.453125" style="55" bestFit="1" customWidth="1"/>
    <col min="11279" max="11516" width="8.7265625" style="55"/>
    <col min="11517" max="11517" width="18" style="55" bestFit="1" customWidth="1"/>
    <col min="11518" max="11518" width="24.81640625" style="55" bestFit="1" customWidth="1"/>
    <col min="11519" max="11519" width="14.7265625" style="55" bestFit="1" customWidth="1"/>
    <col min="11520" max="11520" width="17.26953125" style="55" bestFit="1" customWidth="1"/>
    <col min="11521" max="11521" width="11.81640625" style="55" bestFit="1" customWidth="1"/>
    <col min="11522" max="11522" width="14.7265625" style="55" bestFit="1" customWidth="1"/>
    <col min="11523" max="11523" width="16.1796875" style="55" bestFit="1" customWidth="1"/>
    <col min="11524" max="11524" width="15.1796875" style="55" customWidth="1"/>
    <col min="11525" max="11525" width="19.453125" style="55" bestFit="1" customWidth="1"/>
    <col min="11526" max="11526" width="19.1796875" style="55" bestFit="1" customWidth="1"/>
    <col min="11527" max="11527" width="12.81640625" style="55" customWidth="1"/>
    <col min="11528" max="11528" width="16.26953125" style="55" bestFit="1" customWidth="1"/>
    <col min="11529" max="11529" width="20.54296875" style="55" bestFit="1" customWidth="1"/>
    <col min="11530" max="11530" width="23.54296875" style="55" bestFit="1" customWidth="1"/>
    <col min="11531" max="11531" width="22.81640625" style="55" bestFit="1" customWidth="1"/>
    <col min="11532" max="11532" width="12.453125" style="55" bestFit="1" customWidth="1"/>
    <col min="11533" max="11533" width="16.453125" style="55" bestFit="1" customWidth="1"/>
    <col min="11534" max="11534" width="18.453125" style="55" bestFit="1" customWidth="1"/>
    <col min="11535" max="11772" width="8.7265625" style="55"/>
    <col min="11773" max="11773" width="18" style="55" bestFit="1" customWidth="1"/>
    <col min="11774" max="11774" width="24.81640625" style="55" bestFit="1" customWidth="1"/>
    <col min="11775" max="11775" width="14.7265625" style="55" bestFit="1" customWidth="1"/>
    <col min="11776" max="11776" width="17.26953125" style="55" bestFit="1" customWidth="1"/>
    <col min="11777" max="11777" width="11.81640625" style="55" bestFit="1" customWidth="1"/>
    <col min="11778" max="11778" width="14.7265625" style="55" bestFit="1" customWidth="1"/>
    <col min="11779" max="11779" width="16.1796875" style="55" bestFit="1" customWidth="1"/>
    <col min="11780" max="11780" width="15.1796875" style="55" customWidth="1"/>
    <col min="11781" max="11781" width="19.453125" style="55" bestFit="1" customWidth="1"/>
    <col min="11782" max="11782" width="19.1796875" style="55" bestFit="1" customWidth="1"/>
    <col min="11783" max="11783" width="12.81640625" style="55" customWidth="1"/>
    <col min="11784" max="11784" width="16.26953125" style="55" bestFit="1" customWidth="1"/>
    <col min="11785" max="11785" width="20.54296875" style="55" bestFit="1" customWidth="1"/>
    <col min="11786" max="11786" width="23.54296875" style="55" bestFit="1" customWidth="1"/>
    <col min="11787" max="11787" width="22.81640625" style="55" bestFit="1" customWidth="1"/>
    <col min="11788" max="11788" width="12.453125" style="55" bestFit="1" customWidth="1"/>
    <col min="11789" max="11789" width="16.453125" style="55" bestFit="1" customWidth="1"/>
    <col min="11790" max="11790" width="18.453125" style="55" bestFit="1" customWidth="1"/>
    <col min="11791" max="12028" width="8.7265625" style="55"/>
    <col min="12029" max="12029" width="18" style="55" bestFit="1" customWidth="1"/>
    <col min="12030" max="12030" width="24.81640625" style="55" bestFit="1" customWidth="1"/>
    <col min="12031" max="12031" width="14.7265625" style="55" bestFit="1" customWidth="1"/>
    <col min="12032" max="12032" width="17.26953125" style="55" bestFit="1" customWidth="1"/>
    <col min="12033" max="12033" width="11.81640625" style="55" bestFit="1" customWidth="1"/>
    <col min="12034" max="12034" width="14.7265625" style="55" bestFit="1" customWidth="1"/>
    <col min="12035" max="12035" width="16.1796875" style="55" bestFit="1" customWidth="1"/>
    <col min="12036" max="12036" width="15.1796875" style="55" customWidth="1"/>
    <col min="12037" max="12037" width="19.453125" style="55" bestFit="1" customWidth="1"/>
    <col min="12038" max="12038" width="19.1796875" style="55" bestFit="1" customWidth="1"/>
    <col min="12039" max="12039" width="12.81640625" style="55" customWidth="1"/>
    <col min="12040" max="12040" width="16.26953125" style="55" bestFit="1" customWidth="1"/>
    <col min="12041" max="12041" width="20.54296875" style="55" bestFit="1" customWidth="1"/>
    <col min="12042" max="12042" width="23.54296875" style="55" bestFit="1" customWidth="1"/>
    <col min="12043" max="12043" width="22.81640625" style="55" bestFit="1" customWidth="1"/>
    <col min="12044" max="12044" width="12.453125" style="55" bestFit="1" customWidth="1"/>
    <col min="12045" max="12045" width="16.453125" style="55" bestFit="1" customWidth="1"/>
    <col min="12046" max="12046" width="18.453125" style="55" bestFit="1" customWidth="1"/>
    <col min="12047" max="12284" width="8.7265625" style="55"/>
    <col min="12285" max="12285" width="18" style="55" bestFit="1" customWidth="1"/>
    <col min="12286" max="12286" width="24.81640625" style="55" bestFit="1" customWidth="1"/>
    <col min="12287" max="12287" width="14.7265625" style="55" bestFit="1" customWidth="1"/>
    <col min="12288" max="12288" width="17.26953125" style="55" bestFit="1" customWidth="1"/>
    <col min="12289" max="12289" width="11.81640625" style="55" bestFit="1" customWidth="1"/>
    <col min="12290" max="12290" width="14.7265625" style="55" bestFit="1" customWidth="1"/>
    <col min="12291" max="12291" width="16.1796875" style="55" bestFit="1" customWidth="1"/>
    <col min="12292" max="12292" width="15.1796875" style="55" customWidth="1"/>
    <col min="12293" max="12293" width="19.453125" style="55" bestFit="1" customWidth="1"/>
    <col min="12294" max="12294" width="19.1796875" style="55" bestFit="1" customWidth="1"/>
    <col min="12295" max="12295" width="12.81640625" style="55" customWidth="1"/>
    <col min="12296" max="12296" width="16.26953125" style="55" bestFit="1" customWidth="1"/>
    <col min="12297" max="12297" width="20.54296875" style="55" bestFit="1" customWidth="1"/>
    <col min="12298" max="12298" width="23.54296875" style="55" bestFit="1" customWidth="1"/>
    <col min="12299" max="12299" width="22.81640625" style="55" bestFit="1" customWidth="1"/>
    <col min="12300" max="12300" width="12.453125" style="55" bestFit="1" customWidth="1"/>
    <col min="12301" max="12301" width="16.453125" style="55" bestFit="1" customWidth="1"/>
    <col min="12302" max="12302" width="18.453125" style="55" bestFit="1" customWidth="1"/>
    <col min="12303" max="12540" width="8.7265625" style="55"/>
    <col min="12541" max="12541" width="18" style="55" bestFit="1" customWidth="1"/>
    <col min="12542" max="12542" width="24.81640625" style="55" bestFit="1" customWidth="1"/>
    <col min="12543" max="12543" width="14.7265625" style="55" bestFit="1" customWidth="1"/>
    <col min="12544" max="12544" width="17.26953125" style="55" bestFit="1" customWidth="1"/>
    <col min="12545" max="12545" width="11.81640625" style="55" bestFit="1" customWidth="1"/>
    <col min="12546" max="12546" width="14.7265625" style="55" bestFit="1" customWidth="1"/>
    <col min="12547" max="12547" width="16.1796875" style="55" bestFit="1" customWidth="1"/>
    <col min="12548" max="12548" width="15.1796875" style="55" customWidth="1"/>
    <col min="12549" max="12549" width="19.453125" style="55" bestFit="1" customWidth="1"/>
    <col min="12550" max="12550" width="19.1796875" style="55" bestFit="1" customWidth="1"/>
    <col min="12551" max="12551" width="12.81640625" style="55" customWidth="1"/>
    <col min="12552" max="12552" width="16.26953125" style="55" bestFit="1" customWidth="1"/>
    <col min="12553" max="12553" width="20.54296875" style="55" bestFit="1" customWidth="1"/>
    <col min="12554" max="12554" width="23.54296875" style="55" bestFit="1" customWidth="1"/>
    <col min="12555" max="12555" width="22.81640625" style="55" bestFit="1" customWidth="1"/>
    <col min="12556" max="12556" width="12.453125" style="55" bestFit="1" customWidth="1"/>
    <col min="12557" max="12557" width="16.453125" style="55" bestFit="1" customWidth="1"/>
    <col min="12558" max="12558" width="18.453125" style="55" bestFit="1" customWidth="1"/>
    <col min="12559" max="12796" width="8.7265625" style="55"/>
    <col min="12797" max="12797" width="18" style="55" bestFit="1" customWidth="1"/>
    <col min="12798" max="12798" width="24.81640625" style="55" bestFit="1" customWidth="1"/>
    <col min="12799" max="12799" width="14.7265625" style="55" bestFit="1" customWidth="1"/>
    <col min="12800" max="12800" width="17.26953125" style="55" bestFit="1" customWidth="1"/>
    <col min="12801" max="12801" width="11.81640625" style="55" bestFit="1" customWidth="1"/>
    <col min="12802" max="12802" width="14.7265625" style="55" bestFit="1" customWidth="1"/>
    <col min="12803" max="12803" width="16.1796875" style="55" bestFit="1" customWidth="1"/>
    <col min="12804" max="12804" width="15.1796875" style="55" customWidth="1"/>
    <col min="12805" max="12805" width="19.453125" style="55" bestFit="1" customWidth="1"/>
    <col min="12806" max="12806" width="19.1796875" style="55" bestFit="1" customWidth="1"/>
    <col min="12807" max="12807" width="12.81640625" style="55" customWidth="1"/>
    <col min="12808" max="12808" width="16.26953125" style="55" bestFit="1" customWidth="1"/>
    <col min="12809" max="12809" width="20.54296875" style="55" bestFit="1" customWidth="1"/>
    <col min="12810" max="12810" width="23.54296875" style="55" bestFit="1" customWidth="1"/>
    <col min="12811" max="12811" width="22.81640625" style="55" bestFit="1" customWidth="1"/>
    <col min="12812" max="12812" width="12.453125" style="55" bestFit="1" customWidth="1"/>
    <col min="12813" max="12813" width="16.453125" style="55" bestFit="1" customWidth="1"/>
    <col min="12814" max="12814" width="18.453125" style="55" bestFit="1" customWidth="1"/>
    <col min="12815" max="13052" width="8.7265625" style="55"/>
    <col min="13053" max="13053" width="18" style="55" bestFit="1" customWidth="1"/>
    <col min="13054" max="13054" width="24.81640625" style="55" bestFit="1" customWidth="1"/>
    <col min="13055" max="13055" width="14.7265625" style="55" bestFit="1" customWidth="1"/>
    <col min="13056" max="13056" width="17.26953125" style="55" bestFit="1" customWidth="1"/>
    <col min="13057" max="13057" width="11.81640625" style="55" bestFit="1" customWidth="1"/>
    <col min="13058" max="13058" width="14.7265625" style="55" bestFit="1" customWidth="1"/>
    <col min="13059" max="13059" width="16.1796875" style="55" bestFit="1" customWidth="1"/>
    <col min="13060" max="13060" width="15.1796875" style="55" customWidth="1"/>
    <col min="13061" max="13061" width="19.453125" style="55" bestFit="1" customWidth="1"/>
    <col min="13062" max="13062" width="19.1796875" style="55" bestFit="1" customWidth="1"/>
    <col min="13063" max="13063" width="12.81640625" style="55" customWidth="1"/>
    <col min="13064" max="13064" width="16.26953125" style="55" bestFit="1" customWidth="1"/>
    <col min="13065" max="13065" width="20.54296875" style="55" bestFit="1" customWidth="1"/>
    <col min="13066" max="13066" width="23.54296875" style="55" bestFit="1" customWidth="1"/>
    <col min="13067" max="13067" width="22.81640625" style="55" bestFit="1" customWidth="1"/>
    <col min="13068" max="13068" width="12.453125" style="55" bestFit="1" customWidth="1"/>
    <col min="13069" max="13069" width="16.453125" style="55" bestFit="1" customWidth="1"/>
    <col min="13070" max="13070" width="18.453125" style="55" bestFit="1" customWidth="1"/>
    <col min="13071" max="13308" width="8.7265625" style="55"/>
    <col min="13309" max="13309" width="18" style="55" bestFit="1" customWidth="1"/>
    <col min="13310" max="13310" width="24.81640625" style="55" bestFit="1" customWidth="1"/>
    <col min="13311" max="13311" width="14.7265625" style="55" bestFit="1" customWidth="1"/>
    <col min="13312" max="13312" width="17.26953125" style="55" bestFit="1" customWidth="1"/>
    <col min="13313" max="13313" width="11.81640625" style="55" bestFit="1" customWidth="1"/>
    <col min="13314" max="13314" width="14.7265625" style="55" bestFit="1" customWidth="1"/>
    <col min="13315" max="13315" width="16.1796875" style="55" bestFit="1" customWidth="1"/>
    <col min="13316" max="13316" width="15.1796875" style="55" customWidth="1"/>
    <col min="13317" max="13317" width="19.453125" style="55" bestFit="1" customWidth="1"/>
    <col min="13318" max="13318" width="19.1796875" style="55" bestFit="1" customWidth="1"/>
    <col min="13319" max="13319" width="12.81640625" style="55" customWidth="1"/>
    <col min="13320" max="13320" width="16.26953125" style="55" bestFit="1" customWidth="1"/>
    <col min="13321" max="13321" width="20.54296875" style="55" bestFit="1" customWidth="1"/>
    <col min="13322" max="13322" width="23.54296875" style="55" bestFit="1" customWidth="1"/>
    <col min="13323" max="13323" width="22.81640625" style="55" bestFit="1" customWidth="1"/>
    <col min="13324" max="13324" width="12.453125" style="55" bestFit="1" customWidth="1"/>
    <col min="13325" max="13325" width="16.453125" style="55" bestFit="1" customWidth="1"/>
    <col min="13326" max="13326" width="18.453125" style="55" bestFit="1" customWidth="1"/>
    <col min="13327" max="13564" width="8.7265625" style="55"/>
    <col min="13565" max="13565" width="18" style="55" bestFit="1" customWidth="1"/>
    <col min="13566" max="13566" width="24.81640625" style="55" bestFit="1" customWidth="1"/>
    <col min="13567" max="13567" width="14.7265625" style="55" bestFit="1" customWidth="1"/>
    <col min="13568" max="13568" width="17.26953125" style="55" bestFit="1" customWidth="1"/>
    <col min="13569" max="13569" width="11.81640625" style="55" bestFit="1" customWidth="1"/>
    <col min="13570" max="13570" width="14.7265625" style="55" bestFit="1" customWidth="1"/>
    <col min="13571" max="13571" width="16.1796875" style="55" bestFit="1" customWidth="1"/>
    <col min="13572" max="13572" width="15.1796875" style="55" customWidth="1"/>
    <col min="13573" max="13573" width="19.453125" style="55" bestFit="1" customWidth="1"/>
    <col min="13574" max="13574" width="19.1796875" style="55" bestFit="1" customWidth="1"/>
    <col min="13575" max="13575" width="12.81640625" style="55" customWidth="1"/>
    <col min="13576" max="13576" width="16.26953125" style="55" bestFit="1" customWidth="1"/>
    <col min="13577" max="13577" width="20.54296875" style="55" bestFit="1" customWidth="1"/>
    <col min="13578" max="13578" width="23.54296875" style="55" bestFit="1" customWidth="1"/>
    <col min="13579" max="13579" width="22.81640625" style="55" bestFit="1" customWidth="1"/>
    <col min="13580" max="13580" width="12.453125" style="55" bestFit="1" customWidth="1"/>
    <col min="13581" max="13581" width="16.453125" style="55" bestFit="1" customWidth="1"/>
    <col min="13582" max="13582" width="18.453125" style="55" bestFit="1" customWidth="1"/>
    <col min="13583" max="13820" width="8.7265625" style="55"/>
    <col min="13821" max="13821" width="18" style="55" bestFit="1" customWidth="1"/>
    <col min="13822" max="13822" width="24.81640625" style="55" bestFit="1" customWidth="1"/>
    <col min="13823" max="13823" width="14.7265625" style="55" bestFit="1" customWidth="1"/>
    <col min="13824" max="13824" width="17.26953125" style="55" bestFit="1" customWidth="1"/>
    <col min="13825" max="13825" width="11.81640625" style="55" bestFit="1" customWidth="1"/>
    <col min="13826" max="13826" width="14.7265625" style="55" bestFit="1" customWidth="1"/>
    <col min="13827" max="13827" width="16.1796875" style="55" bestFit="1" customWidth="1"/>
    <col min="13828" max="13828" width="15.1796875" style="55" customWidth="1"/>
    <col min="13829" max="13829" width="19.453125" style="55" bestFit="1" customWidth="1"/>
    <col min="13830" max="13830" width="19.1796875" style="55" bestFit="1" customWidth="1"/>
    <col min="13831" max="13831" width="12.81640625" style="55" customWidth="1"/>
    <col min="13832" max="13832" width="16.26953125" style="55" bestFit="1" customWidth="1"/>
    <col min="13833" max="13833" width="20.54296875" style="55" bestFit="1" customWidth="1"/>
    <col min="13834" max="13834" width="23.54296875" style="55" bestFit="1" customWidth="1"/>
    <col min="13835" max="13835" width="22.81640625" style="55" bestFit="1" customWidth="1"/>
    <col min="13836" max="13836" width="12.453125" style="55" bestFit="1" customWidth="1"/>
    <col min="13837" max="13837" width="16.453125" style="55" bestFit="1" customWidth="1"/>
    <col min="13838" max="13838" width="18.453125" style="55" bestFit="1" customWidth="1"/>
    <col min="13839" max="14076" width="8.7265625" style="55"/>
    <col min="14077" max="14077" width="18" style="55" bestFit="1" customWidth="1"/>
    <col min="14078" max="14078" width="24.81640625" style="55" bestFit="1" customWidth="1"/>
    <col min="14079" max="14079" width="14.7265625" style="55" bestFit="1" customWidth="1"/>
    <col min="14080" max="14080" width="17.26953125" style="55" bestFit="1" customWidth="1"/>
    <col min="14081" max="14081" width="11.81640625" style="55" bestFit="1" customWidth="1"/>
    <col min="14082" max="14082" width="14.7265625" style="55" bestFit="1" customWidth="1"/>
    <col min="14083" max="14083" width="16.1796875" style="55" bestFit="1" customWidth="1"/>
    <col min="14084" max="14084" width="15.1796875" style="55" customWidth="1"/>
    <col min="14085" max="14085" width="19.453125" style="55" bestFit="1" customWidth="1"/>
    <col min="14086" max="14086" width="19.1796875" style="55" bestFit="1" customWidth="1"/>
    <col min="14087" max="14087" width="12.81640625" style="55" customWidth="1"/>
    <col min="14088" max="14088" width="16.26953125" style="55" bestFit="1" customWidth="1"/>
    <col min="14089" max="14089" width="20.54296875" style="55" bestFit="1" customWidth="1"/>
    <col min="14090" max="14090" width="23.54296875" style="55" bestFit="1" customWidth="1"/>
    <col min="14091" max="14091" width="22.81640625" style="55" bestFit="1" customWidth="1"/>
    <col min="14092" max="14092" width="12.453125" style="55" bestFit="1" customWidth="1"/>
    <col min="14093" max="14093" width="16.453125" style="55" bestFit="1" customWidth="1"/>
    <col min="14094" max="14094" width="18.453125" style="55" bestFit="1" customWidth="1"/>
    <col min="14095" max="14332" width="8.7265625" style="55"/>
    <col min="14333" max="14333" width="18" style="55" bestFit="1" customWidth="1"/>
    <col min="14334" max="14334" width="24.81640625" style="55" bestFit="1" customWidth="1"/>
    <col min="14335" max="14335" width="14.7265625" style="55" bestFit="1" customWidth="1"/>
    <col min="14336" max="14336" width="17.26953125" style="55" bestFit="1" customWidth="1"/>
    <col min="14337" max="14337" width="11.81640625" style="55" bestFit="1" customWidth="1"/>
    <col min="14338" max="14338" width="14.7265625" style="55" bestFit="1" customWidth="1"/>
    <col min="14339" max="14339" width="16.1796875" style="55" bestFit="1" customWidth="1"/>
    <col min="14340" max="14340" width="15.1796875" style="55" customWidth="1"/>
    <col min="14341" max="14341" width="19.453125" style="55" bestFit="1" customWidth="1"/>
    <col min="14342" max="14342" width="19.1796875" style="55" bestFit="1" customWidth="1"/>
    <col min="14343" max="14343" width="12.81640625" style="55" customWidth="1"/>
    <col min="14344" max="14344" width="16.26953125" style="55" bestFit="1" customWidth="1"/>
    <col min="14345" max="14345" width="20.54296875" style="55" bestFit="1" customWidth="1"/>
    <col min="14346" max="14346" width="23.54296875" style="55" bestFit="1" customWidth="1"/>
    <col min="14347" max="14347" width="22.81640625" style="55" bestFit="1" customWidth="1"/>
    <col min="14348" max="14348" width="12.453125" style="55" bestFit="1" customWidth="1"/>
    <col min="14349" max="14349" width="16.453125" style="55" bestFit="1" customWidth="1"/>
    <col min="14350" max="14350" width="18.453125" style="55" bestFit="1" customWidth="1"/>
    <col min="14351" max="14588" width="8.7265625" style="55"/>
    <col min="14589" max="14589" width="18" style="55" bestFit="1" customWidth="1"/>
    <col min="14590" max="14590" width="24.81640625" style="55" bestFit="1" customWidth="1"/>
    <col min="14591" max="14591" width="14.7265625" style="55" bestFit="1" customWidth="1"/>
    <col min="14592" max="14592" width="17.26953125" style="55" bestFit="1" customWidth="1"/>
    <col min="14593" max="14593" width="11.81640625" style="55" bestFit="1" customWidth="1"/>
    <col min="14594" max="14594" width="14.7265625" style="55" bestFit="1" customWidth="1"/>
    <col min="14595" max="14595" width="16.1796875" style="55" bestFit="1" customWidth="1"/>
    <col min="14596" max="14596" width="15.1796875" style="55" customWidth="1"/>
    <col min="14597" max="14597" width="19.453125" style="55" bestFit="1" customWidth="1"/>
    <col min="14598" max="14598" width="19.1796875" style="55" bestFit="1" customWidth="1"/>
    <col min="14599" max="14599" width="12.81640625" style="55" customWidth="1"/>
    <col min="14600" max="14600" width="16.26953125" style="55" bestFit="1" customWidth="1"/>
    <col min="14601" max="14601" width="20.54296875" style="55" bestFit="1" customWidth="1"/>
    <col min="14602" max="14602" width="23.54296875" style="55" bestFit="1" customWidth="1"/>
    <col min="14603" max="14603" width="22.81640625" style="55" bestFit="1" customWidth="1"/>
    <col min="14604" max="14604" width="12.453125" style="55" bestFit="1" customWidth="1"/>
    <col min="14605" max="14605" width="16.453125" style="55" bestFit="1" customWidth="1"/>
    <col min="14606" max="14606" width="18.453125" style="55" bestFit="1" customWidth="1"/>
    <col min="14607" max="14844" width="8.7265625" style="55"/>
    <col min="14845" max="14845" width="18" style="55" bestFit="1" customWidth="1"/>
    <col min="14846" max="14846" width="24.81640625" style="55" bestFit="1" customWidth="1"/>
    <col min="14847" max="14847" width="14.7265625" style="55" bestFit="1" customWidth="1"/>
    <col min="14848" max="14848" width="17.26953125" style="55" bestFit="1" customWidth="1"/>
    <col min="14849" max="14849" width="11.81640625" style="55" bestFit="1" customWidth="1"/>
    <col min="14850" max="14850" width="14.7265625" style="55" bestFit="1" customWidth="1"/>
    <col min="14851" max="14851" width="16.1796875" style="55" bestFit="1" customWidth="1"/>
    <col min="14852" max="14852" width="15.1796875" style="55" customWidth="1"/>
    <col min="14853" max="14853" width="19.453125" style="55" bestFit="1" customWidth="1"/>
    <col min="14854" max="14854" width="19.1796875" style="55" bestFit="1" customWidth="1"/>
    <col min="14855" max="14855" width="12.81640625" style="55" customWidth="1"/>
    <col min="14856" max="14856" width="16.26953125" style="55" bestFit="1" customWidth="1"/>
    <col min="14857" max="14857" width="20.54296875" style="55" bestFit="1" customWidth="1"/>
    <col min="14858" max="14858" width="23.54296875" style="55" bestFit="1" customWidth="1"/>
    <col min="14859" max="14859" width="22.81640625" style="55" bestFit="1" customWidth="1"/>
    <col min="14860" max="14860" width="12.453125" style="55" bestFit="1" customWidth="1"/>
    <col min="14861" max="14861" width="16.453125" style="55" bestFit="1" customWidth="1"/>
    <col min="14862" max="14862" width="18.453125" style="55" bestFit="1" customWidth="1"/>
    <col min="14863" max="15100" width="8.7265625" style="55"/>
    <col min="15101" max="15101" width="18" style="55" bestFit="1" customWidth="1"/>
    <col min="15102" max="15102" width="24.81640625" style="55" bestFit="1" customWidth="1"/>
    <col min="15103" max="15103" width="14.7265625" style="55" bestFit="1" customWidth="1"/>
    <col min="15104" max="15104" width="17.26953125" style="55" bestFit="1" customWidth="1"/>
    <col min="15105" max="15105" width="11.81640625" style="55" bestFit="1" customWidth="1"/>
    <col min="15106" max="15106" width="14.7265625" style="55" bestFit="1" customWidth="1"/>
    <col min="15107" max="15107" width="16.1796875" style="55" bestFit="1" customWidth="1"/>
    <col min="15108" max="15108" width="15.1796875" style="55" customWidth="1"/>
    <col min="15109" max="15109" width="19.453125" style="55" bestFit="1" customWidth="1"/>
    <col min="15110" max="15110" width="19.1796875" style="55" bestFit="1" customWidth="1"/>
    <col min="15111" max="15111" width="12.81640625" style="55" customWidth="1"/>
    <col min="15112" max="15112" width="16.26953125" style="55" bestFit="1" customWidth="1"/>
    <col min="15113" max="15113" width="20.54296875" style="55" bestFit="1" customWidth="1"/>
    <col min="15114" max="15114" width="23.54296875" style="55" bestFit="1" customWidth="1"/>
    <col min="15115" max="15115" width="22.81640625" style="55" bestFit="1" customWidth="1"/>
    <col min="15116" max="15116" width="12.453125" style="55" bestFit="1" customWidth="1"/>
    <col min="15117" max="15117" width="16.453125" style="55" bestFit="1" customWidth="1"/>
    <col min="15118" max="15118" width="18.453125" style="55" bestFit="1" customWidth="1"/>
    <col min="15119" max="15356" width="8.7265625" style="55"/>
    <col min="15357" max="15357" width="18" style="55" bestFit="1" customWidth="1"/>
    <col min="15358" max="15358" width="24.81640625" style="55" bestFit="1" customWidth="1"/>
    <col min="15359" max="15359" width="14.7265625" style="55" bestFit="1" customWidth="1"/>
    <col min="15360" max="15360" width="17.26953125" style="55" bestFit="1" customWidth="1"/>
    <col min="15361" max="15361" width="11.81640625" style="55" bestFit="1" customWidth="1"/>
    <col min="15362" max="15362" width="14.7265625" style="55" bestFit="1" customWidth="1"/>
    <col min="15363" max="15363" width="16.1796875" style="55" bestFit="1" customWidth="1"/>
    <col min="15364" max="15364" width="15.1796875" style="55" customWidth="1"/>
    <col min="15365" max="15365" width="19.453125" style="55" bestFit="1" customWidth="1"/>
    <col min="15366" max="15366" width="19.1796875" style="55" bestFit="1" customWidth="1"/>
    <col min="15367" max="15367" width="12.81640625" style="55" customWidth="1"/>
    <col min="15368" max="15368" width="16.26953125" style="55" bestFit="1" customWidth="1"/>
    <col min="15369" max="15369" width="20.54296875" style="55" bestFit="1" customWidth="1"/>
    <col min="15370" max="15370" width="23.54296875" style="55" bestFit="1" customWidth="1"/>
    <col min="15371" max="15371" width="22.81640625" style="55" bestFit="1" customWidth="1"/>
    <col min="15372" max="15372" width="12.453125" style="55" bestFit="1" customWidth="1"/>
    <col min="15373" max="15373" width="16.453125" style="55" bestFit="1" customWidth="1"/>
    <col min="15374" max="15374" width="18.453125" style="55" bestFit="1" customWidth="1"/>
    <col min="15375" max="15612" width="8.7265625" style="55"/>
    <col min="15613" max="15613" width="18" style="55" bestFit="1" customWidth="1"/>
    <col min="15614" max="15614" width="24.81640625" style="55" bestFit="1" customWidth="1"/>
    <col min="15615" max="15615" width="14.7265625" style="55" bestFit="1" customWidth="1"/>
    <col min="15616" max="15616" width="17.26953125" style="55" bestFit="1" customWidth="1"/>
    <col min="15617" max="15617" width="11.81640625" style="55" bestFit="1" customWidth="1"/>
    <col min="15618" max="15618" width="14.7265625" style="55" bestFit="1" customWidth="1"/>
    <col min="15619" max="15619" width="16.1796875" style="55" bestFit="1" customWidth="1"/>
    <col min="15620" max="15620" width="15.1796875" style="55" customWidth="1"/>
    <col min="15621" max="15621" width="19.453125" style="55" bestFit="1" customWidth="1"/>
    <col min="15622" max="15622" width="19.1796875" style="55" bestFit="1" customWidth="1"/>
    <col min="15623" max="15623" width="12.81640625" style="55" customWidth="1"/>
    <col min="15624" max="15624" width="16.26953125" style="55" bestFit="1" customWidth="1"/>
    <col min="15625" max="15625" width="20.54296875" style="55" bestFit="1" customWidth="1"/>
    <col min="15626" max="15626" width="23.54296875" style="55" bestFit="1" customWidth="1"/>
    <col min="15627" max="15627" width="22.81640625" style="55" bestFit="1" customWidth="1"/>
    <col min="15628" max="15628" width="12.453125" style="55" bestFit="1" customWidth="1"/>
    <col min="15629" max="15629" width="16.453125" style="55" bestFit="1" customWidth="1"/>
    <col min="15630" max="15630" width="18.453125" style="55" bestFit="1" customWidth="1"/>
    <col min="15631" max="15868" width="8.7265625" style="55"/>
    <col min="15869" max="15869" width="18" style="55" bestFit="1" customWidth="1"/>
    <col min="15870" max="15870" width="24.81640625" style="55" bestFit="1" customWidth="1"/>
    <col min="15871" max="15871" width="14.7265625" style="55" bestFit="1" customWidth="1"/>
    <col min="15872" max="15872" width="17.26953125" style="55" bestFit="1" customWidth="1"/>
    <col min="15873" max="15873" width="11.81640625" style="55" bestFit="1" customWidth="1"/>
    <col min="15874" max="15874" width="14.7265625" style="55" bestFit="1" customWidth="1"/>
    <col min="15875" max="15875" width="16.1796875" style="55" bestFit="1" customWidth="1"/>
    <col min="15876" max="15876" width="15.1796875" style="55" customWidth="1"/>
    <col min="15877" max="15877" width="19.453125" style="55" bestFit="1" customWidth="1"/>
    <col min="15878" max="15878" width="19.1796875" style="55" bestFit="1" customWidth="1"/>
    <col min="15879" max="15879" width="12.81640625" style="55" customWidth="1"/>
    <col min="15880" max="15880" width="16.26953125" style="55" bestFit="1" customWidth="1"/>
    <col min="15881" max="15881" width="20.54296875" style="55" bestFit="1" customWidth="1"/>
    <col min="15882" max="15882" width="23.54296875" style="55" bestFit="1" customWidth="1"/>
    <col min="15883" max="15883" width="22.81640625" style="55" bestFit="1" customWidth="1"/>
    <col min="15884" max="15884" width="12.453125" style="55" bestFit="1" customWidth="1"/>
    <col min="15885" max="15885" width="16.453125" style="55" bestFit="1" customWidth="1"/>
    <col min="15886" max="15886" width="18.453125" style="55" bestFit="1" customWidth="1"/>
    <col min="15887" max="16124" width="8.7265625" style="55"/>
    <col min="16125" max="16125" width="18" style="55" bestFit="1" customWidth="1"/>
    <col min="16126" max="16126" width="24.81640625" style="55" bestFit="1" customWidth="1"/>
    <col min="16127" max="16127" width="14.7265625" style="55" bestFit="1" customWidth="1"/>
    <col min="16128" max="16128" width="17.26953125" style="55" bestFit="1" customWidth="1"/>
    <col min="16129" max="16129" width="11.81640625" style="55" bestFit="1" customWidth="1"/>
    <col min="16130" max="16130" width="14.7265625" style="55" bestFit="1" customWidth="1"/>
    <col min="16131" max="16131" width="16.1796875" style="55" bestFit="1" customWidth="1"/>
    <col min="16132" max="16132" width="15.1796875" style="55" customWidth="1"/>
    <col min="16133" max="16133" width="19.453125" style="55" bestFit="1" customWidth="1"/>
    <col min="16134" max="16134" width="19.1796875" style="55" bestFit="1" customWidth="1"/>
    <col min="16135" max="16135" width="12.81640625" style="55" customWidth="1"/>
    <col min="16136" max="16136" width="16.26953125" style="55" bestFit="1" customWidth="1"/>
    <col min="16137" max="16137" width="20.54296875" style="55" bestFit="1" customWidth="1"/>
    <col min="16138" max="16138" width="23.54296875" style="55" bestFit="1" customWidth="1"/>
    <col min="16139" max="16139" width="22.81640625" style="55" bestFit="1" customWidth="1"/>
    <col min="16140" max="16140" width="12.453125" style="55" bestFit="1" customWidth="1"/>
    <col min="16141" max="16141" width="16.453125" style="55" bestFit="1" customWidth="1"/>
    <col min="16142" max="16142" width="18.453125" style="55" bestFit="1" customWidth="1"/>
    <col min="16143" max="16384" width="8.7265625" style="55"/>
  </cols>
  <sheetData>
    <row r="1" spans="1:11" x14ac:dyDescent="0.35">
      <c r="A1" s="132"/>
      <c r="B1" s="132"/>
      <c r="C1" s="132"/>
      <c r="D1" s="132"/>
      <c r="E1" s="132"/>
      <c r="F1" s="132"/>
      <c r="G1" s="132"/>
      <c r="H1" s="54"/>
    </row>
    <row r="2" spans="1:11" x14ac:dyDescent="0.35">
      <c r="A2" s="53"/>
      <c r="B2" s="53"/>
      <c r="C2" s="53"/>
      <c r="D2" s="53"/>
      <c r="E2" s="53"/>
      <c r="F2" s="53"/>
      <c r="G2" s="53"/>
      <c r="H2" s="54"/>
    </row>
    <row r="3" spans="1:11" x14ac:dyDescent="0.35">
      <c r="A3" s="56"/>
      <c r="B3" s="56"/>
      <c r="C3" s="56"/>
      <c r="D3" s="56"/>
      <c r="E3" s="56"/>
      <c r="F3" s="56"/>
      <c r="G3" s="56"/>
      <c r="H3" s="54"/>
    </row>
    <row r="4" spans="1:11" x14ac:dyDescent="0.35">
      <c r="A4" s="54"/>
      <c r="B4" s="54"/>
      <c r="C4" s="54"/>
      <c r="D4" s="57"/>
      <c r="E4" s="54"/>
      <c r="F4" s="54"/>
      <c r="G4" s="47"/>
      <c r="H4" s="54"/>
    </row>
    <row r="5" spans="1:11" ht="15" customHeight="1" x14ac:dyDescent="0.35">
      <c r="A5" s="54"/>
      <c r="B5" s="54"/>
      <c r="C5" s="54"/>
      <c r="D5" s="54"/>
      <c r="E5" s="54"/>
      <c r="F5" s="54"/>
      <c r="G5" s="47"/>
      <c r="H5" s="54"/>
    </row>
    <row r="6" spans="1:11" ht="15" x14ac:dyDescent="0.4">
      <c r="A6" s="58"/>
      <c r="B6" s="54"/>
      <c r="C6" s="54"/>
      <c r="D6" s="54"/>
      <c r="E6" s="54"/>
      <c r="F6" s="54"/>
      <c r="G6" s="47"/>
      <c r="H6" s="54"/>
    </row>
    <row r="7" spans="1:11" x14ac:dyDescent="0.35">
      <c r="A7" s="54"/>
      <c r="B7" s="54"/>
      <c r="C7" s="54"/>
      <c r="D7" s="54"/>
      <c r="E7" s="54"/>
      <c r="F7" s="54"/>
      <c r="G7" s="47"/>
      <c r="H7" s="54"/>
    </row>
    <row r="8" spans="1:11" x14ac:dyDescent="0.35">
      <c r="A8" s="54"/>
      <c r="B8" s="54"/>
      <c r="C8" s="54"/>
      <c r="D8" s="54"/>
      <c r="E8" s="54"/>
      <c r="F8" s="54"/>
      <c r="G8" s="47"/>
      <c r="H8" s="54"/>
    </row>
    <row r="9" spans="1:11" x14ac:dyDescent="0.35">
      <c r="A9" s="54"/>
      <c r="B9" s="54"/>
      <c r="C9" s="54"/>
      <c r="D9" s="54"/>
      <c r="E9" s="54"/>
      <c r="F9" s="54"/>
      <c r="G9" s="47"/>
      <c r="H9" s="54"/>
    </row>
    <row r="10" spans="1:11" x14ac:dyDescent="0.35">
      <c r="A10" s="54"/>
      <c r="B10" s="54"/>
      <c r="C10" s="54"/>
      <c r="D10" s="54"/>
      <c r="E10" s="54"/>
      <c r="F10" s="54"/>
      <c r="G10" s="54"/>
      <c r="H10" s="54"/>
      <c r="I10" s="54"/>
    </row>
    <row r="11" spans="1:11" x14ac:dyDescent="0.35">
      <c r="A11" s="54"/>
      <c r="B11" s="54"/>
      <c r="C11" s="54"/>
      <c r="D11" s="54"/>
      <c r="E11" s="54"/>
      <c r="F11" s="54"/>
      <c r="G11" s="54"/>
      <c r="H11" s="54"/>
      <c r="I11" s="54"/>
    </row>
    <row r="12" spans="1:11" x14ac:dyDescent="0.35">
      <c r="A12" s="132"/>
      <c r="B12" s="132"/>
      <c r="C12" s="132"/>
      <c r="D12" s="132"/>
      <c r="E12" s="132"/>
      <c r="F12" s="132"/>
      <c r="G12" s="132"/>
      <c r="H12" s="132"/>
      <c r="I12" s="132"/>
      <c r="J12" s="132"/>
      <c r="K12" s="132"/>
    </row>
    <row r="13" spans="1:11" x14ac:dyDescent="0.35">
      <c r="A13" s="54"/>
      <c r="B13" s="54"/>
      <c r="C13" s="54"/>
      <c r="D13" s="54"/>
      <c r="E13" s="54"/>
      <c r="F13" s="54"/>
      <c r="G13" s="54"/>
      <c r="H13" s="54"/>
      <c r="I13" s="54"/>
    </row>
    <row r="14" spans="1:11" x14ac:dyDescent="0.35">
      <c r="A14" s="132"/>
      <c r="B14" s="132"/>
      <c r="C14" s="132"/>
      <c r="D14" s="132"/>
      <c r="E14" s="132"/>
      <c r="F14" s="132"/>
      <c r="G14" s="132"/>
      <c r="H14" s="132"/>
      <c r="I14" s="132"/>
      <c r="J14" s="132"/>
      <c r="K14" s="132"/>
    </row>
    <row r="15" spans="1:11" x14ac:dyDescent="0.35">
      <c r="A15" s="59"/>
      <c r="B15" s="54"/>
      <c r="C15" s="60"/>
      <c r="D15" s="59"/>
      <c r="E15" s="59"/>
      <c r="F15" s="59"/>
      <c r="G15" s="59"/>
      <c r="H15" s="59"/>
      <c r="I15" s="59"/>
      <c r="J15" s="59"/>
      <c r="K15" s="61"/>
    </row>
    <row r="16" spans="1:11" x14ac:dyDescent="0.35">
      <c r="A16" s="60"/>
      <c r="B16" s="60"/>
      <c r="C16" s="62"/>
      <c r="D16" s="60"/>
      <c r="E16" s="60"/>
      <c r="F16" s="60"/>
      <c r="G16" s="60"/>
      <c r="H16" s="60"/>
      <c r="I16" s="60"/>
      <c r="J16" s="60"/>
      <c r="K16" s="61"/>
    </row>
    <row r="17" spans="1:10" x14ac:dyDescent="0.35">
      <c r="A17" s="63"/>
      <c r="B17" s="64"/>
      <c r="C17" s="64"/>
      <c r="D17" s="65"/>
      <c r="E17" s="65"/>
      <c r="F17" s="65"/>
      <c r="G17" s="66"/>
      <c r="H17" s="66"/>
      <c r="I17" s="65"/>
      <c r="J17" s="54"/>
    </row>
    <row r="18" spans="1:10" x14ac:dyDescent="0.35">
      <c r="A18" s="54"/>
      <c r="B18" s="54"/>
      <c r="C18" s="54"/>
      <c r="D18" s="54"/>
      <c r="E18" s="54"/>
      <c r="F18" s="54"/>
      <c r="G18" s="54"/>
      <c r="H18" s="54"/>
      <c r="I18" s="54"/>
    </row>
    <row r="19" spans="1:10" x14ac:dyDescent="0.35">
      <c r="A19" s="132"/>
      <c r="B19" s="132"/>
      <c r="C19" s="132"/>
      <c r="D19" s="132"/>
      <c r="G19" s="67"/>
      <c r="H19" s="68"/>
      <c r="I19" s="68"/>
    </row>
    <row r="20" spans="1:10" x14ac:dyDescent="0.35">
      <c r="A20" s="59"/>
      <c r="B20" s="59"/>
      <c r="C20" s="59"/>
      <c r="D20" s="59"/>
      <c r="G20" s="67"/>
      <c r="H20" s="67"/>
      <c r="I20" s="67"/>
    </row>
    <row r="21" spans="1:10" x14ac:dyDescent="0.35">
      <c r="A21" s="60"/>
      <c r="B21" s="60"/>
      <c r="C21" s="60"/>
      <c r="D21" s="60"/>
      <c r="G21" s="67"/>
      <c r="H21" s="67"/>
      <c r="I21" s="67"/>
    </row>
    <row r="22" spans="1:10" x14ac:dyDescent="0.35">
      <c r="A22" s="54"/>
      <c r="B22" s="54"/>
      <c r="C22" s="54"/>
      <c r="D22" s="54"/>
      <c r="G22" s="69"/>
      <c r="H22" s="68"/>
      <c r="I22" s="70"/>
    </row>
    <row r="23" spans="1:10" ht="20.25" customHeight="1" x14ac:dyDescent="0.35">
      <c r="A23" s="54"/>
      <c r="B23" s="54"/>
      <c r="C23" s="54"/>
      <c r="D23" s="54"/>
      <c r="E23" s="54"/>
    </row>
    <row r="24" spans="1:10" x14ac:dyDescent="0.35">
      <c r="A24" s="54"/>
      <c r="B24" s="54"/>
      <c r="C24" s="54"/>
      <c r="D24" s="54"/>
      <c r="E24" s="54"/>
      <c r="F24" s="54"/>
      <c r="G24" s="54"/>
      <c r="H24" s="54"/>
      <c r="I24" s="54"/>
    </row>
    <row r="25" spans="1:10" x14ac:dyDescent="0.35">
      <c r="A25" s="132"/>
      <c r="B25" s="132"/>
      <c r="C25" s="132"/>
      <c r="D25" s="132"/>
      <c r="E25" s="132"/>
      <c r="G25" s="67"/>
      <c r="H25" s="68"/>
      <c r="I25" s="68"/>
    </row>
    <row r="26" spans="1:10" x14ac:dyDescent="0.35">
      <c r="A26" s="59"/>
      <c r="B26" s="59"/>
      <c r="C26" s="59"/>
      <c r="D26" s="59"/>
      <c r="E26" s="59"/>
      <c r="G26" s="60"/>
      <c r="H26" s="60"/>
      <c r="I26" s="60"/>
    </row>
    <row r="27" spans="1:10" ht="42.75" customHeight="1" x14ac:dyDescent="0.35">
      <c r="A27" s="60"/>
      <c r="B27" s="71"/>
      <c r="C27" s="71"/>
      <c r="D27" s="71"/>
      <c r="E27" s="71"/>
      <c r="G27" s="54"/>
      <c r="H27" s="54"/>
      <c r="I27" s="54"/>
      <c r="J27" s="60"/>
    </row>
    <row r="28" spans="1:10" x14ac:dyDescent="0.35">
      <c r="B28" s="54"/>
      <c r="C28" s="54"/>
      <c r="D28" s="54"/>
      <c r="E28" s="57"/>
      <c r="F28" s="60"/>
      <c r="J28" s="60"/>
    </row>
    <row r="29" spans="1:10" x14ac:dyDescent="0.35">
      <c r="B29" s="54"/>
      <c r="C29" s="54"/>
      <c r="D29" s="54"/>
      <c r="E29" s="57"/>
      <c r="F29" s="54"/>
      <c r="G29" s="54"/>
      <c r="H29" s="54"/>
      <c r="I29" s="72"/>
      <c r="J29" s="54"/>
    </row>
    <row r="30" spans="1:10" x14ac:dyDescent="0.35">
      <c r="B30" s="54"/>
      <c r="C30" s="54"/>
      <c r="D30" s="54"/>
      <c r="E30" s="57"/>
      <c r="F30" s="54"/>
      <c r="G30" s="54"/>
      <c r="H30" s="54"/>
      <c r="I30" s="54"/>
      <c r="J30" s="54"/>
    </row>
    <row r="31" spans="1:10" x14ac:dyDescent="0.35">
      <c r="A31" s="54"/>
      <c r="B31" s="54"/>
      <c r="C31" s="54"/>
      <c r="D31" s="57"/>
      <c r="E31" s="54"/>
      <c r="F31" s="54"/>
      <c r="G31" s="54"/>
      <c r="H31" s="54"/>
      <c r="I31" s="54"/>
    </row>
    <row r="32" spans="1:10" x14ac:dyDescent="0.35">
      <c r="A32" s="60"/>
      <c r="B32" s="54"/>
      <c r="C32" s="54"/>
      <c r="D32" s="54"/>
      <c r="E32" s="54"/>
      <c r="F32" s="54"/>
      <c r="G32" s="54"/>
      <c r="H32" s="54"/>
      <c r="I32" s="54"/>
    </row>
    <row r="33" spans="1:9" x14ac:dyDescent="0.35">
      <c r="A33" s="59"/>
      <c r="B33" s="59"/>
      <c r="C33" s="59"/>
      <c r="D33" s="59"/>
      <c r="E33" s="59"/>
      <c r="F33" s="54"/>
      <c r="G33" s="54"/>
      <c r="H33" s="54"/>
      <c r="I33" s="54"/>
    </row>
    <row r="34" spans="1:9" x14ac:dyDescent="0.35">
      <c r="A34" s="60"/>
      <c r="B34" s="71"/>
      <c r="C34" s="60"/>
      <c r="D34" s="71"/>
      <c r="E34" s="60"/>
      <c r="F34" s="54"/>
      <c r="G34" s="54"/>
      <c r="H34" s="54"/>
      <c r="I34" s="54"/>
    </row>
    <row r="35" spans="1:9" x14ac:dyDescent="0.35">
      <c r="A35" s="63"/>
      <c r="B35" s="54"/>
      <c r="C35" s="72"/>
      <c r="D35" s="57"/>
      <c r="E35" s="54"/>
      <c r="F35" s="54"/>
      <c r="G35" s="54"/>
      <c r="H35" s="54"/>
      <c r="I35" s="54"/>
    </row>
    <row r="36" spans="1:9" x14ac:dyDescent="0.35">
      <c r="A36" s="63"/>
      <c r="B36" s="54"/>
      <c r="C36" s="72"/>
      <c r="D36" s="57"/>
      <c r="E36" s="54"/>
      <c r="F36" s="54"/>
      <c r="G36" s="54"/>
      <c r="H36" s="54"/>
      <c r="I36" s="54"/>
    </row>
    <row r="37" spans="1:9" x14ac:dyDescent="0.35">
      <c r="A37" s="63"/>
      <c r="B37" s="54"/>
      <c r="C37" s="72"/>
      <c r="D37" s="57"/>
      <c r="E37" s="54"/>
      <c r="F37" s="54"/>
      <c r="G37" s="54"/>
      <c r="H37" s="54"/>
      <c r="I37" s="54"/>
    </row>
    <row r="38" spans="1:9" x14ac:dyDescent="0.35">
      <c r="A38" s="63"/>
      <c r="B38" s="54"/>
      <c r="C38" s="72"/>
      <c r="D38" s="57"/>
      <c r="E38" s="54"/>
      <c r="F38" s="54"/>
      <c r="G38" s="54"/>
      <c r="H38" s="54"/>
      <c r="I38" s="54"/>
    </row>
    <row r="39" spans="1:9" x14ac:dyDescent="0.35">
      <c r="A39" s="63"/>
      <c r="B39" s="54"/>
      <c r="C39" s="73"/>
      <c r="D39" s="57"/>
      <c r="E39" s="54"/>
      <c r="F39" s="54"/>
      <c r="G39" s="54"/>
      <c r="H39" s="54"/>
      <c r="I39" s="54"/>
    </row>
    <row r="40" spans="1:9" x14ac:dyDescent="0.35">
      <c r="A40" s="63"/>
      <c r="B40" s="54"/>
      <c r="C40" s="72"/>
      <c r="D40" s="57"/>
      <c r="E40" s="54"/>
      <c r="F40" s="54"/>
      <c r="G40" s="54"/>
      <c r="H40" s="54"/>
      <c r="I40" s="54"/>
    </row>
    <row r="41" spans="1:9" x14ac:dyDescent="0.35">
      <c r="A41" s="63"/>
      <c r="B41" s="54"/>
      <c r="C41" s="74"/>
      <c r="D41" s="57"/>
      <c r="E41" s="54"/>
      <c r="F41" s="54"/>
      <c r="G41" s="54"/>
      <c r="H41" s="54"/>
      <c r="I41" s="54"/>
    </row>
    <row r="42" spans="1:9" x14ac:dyDescent="0.35">
      <c r="A42" s="63"/>
      <c r="B42" s="54"/>
      <c r="C42" s="73"/>
      <c r="D42" s="57"/>
      <c r="E42" s="54"/>
      <c r="F42" s="54"/>
      <c r="G42" s="54"/>
      <c r="H42" s="54"/>
      <c r="I42" s="54"/>
    </row>
    <row r="43" spans="1:9" x14ac:dyDescent="0.35">
      <c r="A43" s="63"/>
      <c r="B43" s="54"/>
      <c r="C43" s="72"/>
      <c r="D43" s="57"/>
      <c r="E43" s="54"/>
      <c r="F43" s="54"/>
      <c r="G43" s="54"/>
      <c r="H43" s="54"/>
      <c r="I43" s="54"/>
    </row>
    <row r="44" spans="1:9" x14ac:dyDescent="0.35">
      <c r="A44" s="63"/>
      <c r="B44" s="54"/>
      <c r="C44" s="72"/>
      <c r="D44" s="57"/>
      <c r="E44" s="54"/>
      <c r="F44" s="54"/>
      <c r="G44" s="54"/>
      <c r="H44" s="54"/>
      <c r="I44" s="54"/>
    </row>
    <row r="45" spans="1:9" x14ac:dyDescent="0.35">
      <c r="A45" s="63"/>
      <c r="B45" s="54"/>
      <c r="C45" s="73"/>
      <c r="D45" s="57"/>
      <c r="E45" s="54"/>
      <c r="F45" s="54"/>
      <c r="G45" s="54"/>
      <c r="H45" s="54"/>
      <c r="I45" s="54"/>
    </row>
    <row r="46" spans="1:9" x14ac:dyDescent="0.35">
      <c r="A46" s="63"/>
      <c r="B46" s="54"/>
      <c r="C46" s="73"/>
      <c r="D46" s="57"/>
      <c r="E46" s="54"/>
      <c r="F46" s="54"/>
      <c r="G46" s="54"/>
      <c r="H46" s="54"/>
      <c r="I46" s="54"/>
    </row>
    <row r="47" spans="1:9" x14ac:dyDescent="0.35">
      <c r="A47" s="63"/>
      <c r="B47" s="54"/>
      <c r="C47" s="73"/>
      <c r="D47" s="57"/>
      <c r="E47" s="54"/>
      <c r="F47" s="54"/>
      <c r="G47" s="54"/>
      <c r="H47" s="54"/>
      <c r="I47" s="54"/>
    </row>
    <row r="48" spans="1:9" x14ac:dyDescent="0.35">
      <c r="A48" s="63"/>
      <c r="B48" s="54"/>
      <c r="C48" s="73"/>
      <c r="D48" s="57"/>
      <c r="E48" s="54"/>
      <c r="F48" s="54"/>
      <c r="G48" s="54"/>
      <c r="H48" s="54"/>
      <c r="I48" s="54"/>
    </row>
    <row r="49" spans="1:12" x14ac:dyDescent="0.35">
      <c r="A49" s="63"/>
      <c r="B49" s="54"/>
      <c r="C49" s="73"/>
      <c r="D49" s="57"/>
      <c r="E49" s="54"/>
      <c r="F49" s="54"/>
      <c r="G49" s="54"/>
      <c r="H49" s="54"/>
      <c r="I49" s="54"/>
    </row>
    <row r="50" spans="1:12" x14ac:dyDescent="0.35">
      <c r="A50" s="63"/>
      <c r="B50" s="54"/>
      <c r="C50" s="72"/>
      <c r="D50" s="57"/>
      <c r="E50" s="54"/>
      <c r="F50" s="54"/>
      <c r="G50" s="54"/>
      <c r="H50" s="54"/>
      <c r="I50" s="54"/>
    </row>
    <row r="51" spans="1:12" x14ac:dyDescent="0.35">
      <c r="A51" s="63"/>
      <c r="B51" s="54"/>
      <c r="C51" s="72"/>
      <c r="D51" s="57"/>
      <c r="E51" s="54"/>
      <c r="F51" s="54"/>
      <c r="G51" s="54"/>
      <c r="H51" s="54"/>
      <c r="I51" s="54"/>
    </row>
    <row r="52" spans="1:12" x14ac:dyDescent="0.35">
      <c r="A52" s="54"/>
      <c r="B52" s="54"/>
      <c r="C52" s="54"/>
      <c r="D52" s="54"/>
      <c r="E52" s="54"/>
      <c r="F52" s="54"/>
      <c r="G52" s="54"/>
      <c r="H52" s="54"/>
      <c r="I52" s="54"/>
    </row>
    <row r="53" spans="1:12" x14ac:dyDescent="0.35">
      <c r="A53" s="54"/>
      <c r="B53" s="54"/>
      <c r="C53" s="54"/>
      <c r="D53" s="54"/>
      <c r="E53" s="54"/>
      <c r="F53" s="54"/>
      <c r="G53" s="54"/>
      <c r="H53" s="54"/>
      <c r="I53" s="54"/>
    </row>
    <row r="54" spans="1:12" x14ac:dyDescent="0.35">
      <c r="A54" s="75"/>
      <c r="B54" s="68"/>
      <c r="C54" s="68"/>
      <c r="D54" s="68"/>
      <c r="E54" s="68"/>
      <c r="F54" s="68"/>
      <c r="G54" s="68"/>
      <c r="H54" s="68"/>
      <c r="I54" s="54"/>
    </row>
    <row r="55" spans="1:12" x14ac:dyDescent="0.35">
      <c r="A55" s="67"/>
      <c r="B55" s="67"/>
      <c r="C55" s="67"/>
      <c r="D55" s="67"/>
      <c r="E55" s="67"/>
      <c r="F55" s="67"/>
      <c r="G55" s="67"/>
      <c r="H55" s="67"/>
      <c r="I55" s="54"/>
    </row>
    <row r="56" spans="1:12" x14ac:dyDescent="0.35">
      <c r="A56" s="67"/>
      <c r="B56" s="67"/>
      <c r="C56" s="67"/>
      <c r="D56" s="67"/>
      <c r="E56" s="67"/>
      <c r="F56" s="67"/>
      <c r="G56" s="67"/>
      <c r="H56" s="67"/>
      <c r="I56" s="54"/>
    </row>
    <row r="57" spans="1:12" s="68" customFormat="1" ht="14" x14ac:dyDescent="0.3">
      <c r="A57" s="69"/>
      <c r="C57" s="76"/>
      <c r="D57" s="76"/>
      <c r="F57" s="77"/>
      <c r="J57" s="69"/>
      <c r="L57" s="70"/>
    </row>
    <row r="58" spans="1:12" s="68" customFormat="1" ht="14" x14ac:dyDescent="0.3">
      <c r="A58" s="69"/>
      <c r="C58" s="76"/>
      <c r="D58" s="76"/>
      <c r="F58" s="77"/>
    </row>
    <row r="59" spans="1:12" s="68" customFormat="1" ht="14" x14ac:dyDescent="0.3">
      <c r="A59" s="69"/>
      <c r="C59" s="76"/>
      <c r="D59" s="76"/>
      <c r="F59" s="77"/>
    </row>
    <row r="60" spans="1:12" s="68" customFormat="1" ht="14" x14ac:dyDescent="0.3">
      <c r="A60" s="69"/>
      <c r="C60" s="76"/>
      <c r="D60" s="76"/>
      <c r="F60" s="77"/>
    </row>
    <row r="61" spans="1:12" s="68" customFormat="1" ht="14" x14ac:dyDescent="0.3">
      <c r="A61" s="69"/>
      <c r="C61" s="76"/>
      <c r="D61" s="76"/>
      <c r="F61" s="77"/>
    </row>
    <row r="62" spans="1:12" s="68" customFormat="1" ht="14" x14ac:dyDescent="0.3">
      <c r="A62" s="69"/>
      <c r="C62" s="76"/>
      <c r="D62" s="76"/>
      <c r="F62" s="77"/>
    </row>
    <row r="63" spans="1:12" s="68" customFormat="1" ht="14" x14ac:dyDescent="0.3">
      <c r="A63" s="69"/>
      <c r="C63" s="76"/>
      <c r="D63" s="76"/>
      <c r="F63" s="77"/>
    </row>
    <row r="64" spans="1:12" s="68" customFormat="1" ht="14" x14ac:dyDescent="0.3">
      <c r="A64" s="69"/>
      <c r="C64" s="76"/>
      <c r="D64" s="76"/>
      <c r="F64" s="77"/>
    </row>
    <row r="65" spans="1:6" s="68" customFormat="1" ht="14" x14ac:dyDescent="0.3">
      <c r="A65" s="69"/>
      <c r="C65" s="76"/>
      <c r="D65" s="76"/>
      <c r="F65" s="77"/>
    </row>
    <row r="66" spans="1:6" s="68" customFormat="1" ht="14" x14ac:dyDescent="0.3">
      <c r="A66" s="69"/>
      <c r="C66" s="76"/>
      <c r="D66" s="76"/>
      <c r="F66" s="77"/>
    </row>
    <row r="67" spans="1:6" s="68" customFormat="1" ht="14" x14ac:dyDescent="0.3">
      <c r="A67" s="69"/>
      <c r="C67" s="76"/>
      <c r="D67" s="76"/>
      <c r="F67" s="77"/>
    </row>
    <row r="68" spans="1:6" s="68" customFormat="1" ht="14" x14ac:dyDescent="0.3">
      <c r="A68" s="69"/>
      <c r="C68" s="76"/>
      <c r="D68" s="76"/>
      <c r="F68" s="77"/>
    </row>
    <row r="69" spans="1:6" s="68" customFormat="1" ht="14" x14ac:dyDescent="0.3">
      <c r="A69" s="69"/>
      <c r="C69" s="76"/>
      <c r="D69" s="76"/>
      <c r="F69" s="77"/>
    </row>
    <row r="70" spans="1:6" s="68" customFormat="1" ht="14" x14ac:dyDescent="0.3">
      <c r="A70" s="69"/>
      <c r="C70" s="76"/>
      <c r="D70" s="76"/>
      <c r="F70" s="77"/>
    </row>
    <row r="71" spans="1:6" s="68" customFormat="1" ht="14" x14ac:dyDescent="0.3">
      <c r="A71" s="69"/>
      <c r="C71" s="76"/>
      <c r="D71" s="76"/>
      <c r="F71" s="77"/>
    </row>
    <row r="72" spans="1:6" s="68" customFormat="1" ht="14" x14ac:dyDescent="0.3">
      <c r="A72" s="69"/>
      <c r="C72" s="76"/>
      <c r="D72" s="76"/>
      <c r="F72" s="77"/>
    </row>
    <row r="73" spans="1:6" s="68" customFormat="1" ht="14" x14ac:dyDescent="0.3">
      <c r="A73" s="69"/>
      <c r="C73" s="76"/>
      <c r="D73" s="76"/>
      <c r="F73" s="77"/>
    </row>
    <row r="74" spans="1:6" s="68" customFormat="1" ht="14" x14ac:dyDescent="0.3">
      <c r="A74" s="69"/>
      <c r="C74" s="76"/>
      <c r="D74" s="76"/>
      <c r="F74" s="77"/>
    </row>
    <row r="75" spans="1:6" s="68" customFormat="1" ht="14" x14ac:dyDescent="0.3">
      <c r="A75" s="69"/>
      <c r="C75" s="76"/>
      <c r="D75" s="76"/>
      <c r="F75" s="77"/>
    </row>
    <row r="76" spans="1:6" s="68" customFormat="1" ht="14" x14ac:dyDescent="0.3">
      <c r="A76" s="69"/>
      <c r="C76" s="76"/>
      <c r="D76" s="76"/>
      <c r="F76" s="77"/>
    </row>
    <row r="77" spans="1:6" s="68" customFormat="1" ht="14" x14ac:dyDescent="0.3">
      <c r="A77" s="69"/>
      <c r="C77" s="76"/>
      <c r="D77" s="76"/>
      <c r="F77" s="77"/>
    </row>
    <row r="78" spans="1:6" s="68" customFormat="1" ht="14" x14ac:dyDescent="0.3">
      <c r="A78" s="69"/>
      <c r="C78" s="76"/>
      <c r="D78" s="76"/>
      <c r="F78" s="77"/>
    </row>
    <row r="79" spans="1:6" s="68" customFormat="1" ht="14" x14ac:dyDescent="0.3">
      <c r="A79" s="69"/>
      <c r="C79" s="76"/>
      <c r="D79" s="76"/>
      <c r="F79" s="77"/>
    </row>
    <row r="80" spans="1:6" s="68" customFormat="1" ht="14" x14ac:dyDescent="0.3">
      <c r="A80" s="69"/>
      <c r="C80" s="76"/>
      <c r="D80" s="76"/>
      <c r="F80" s="77"/>
    </row>
    <row r="81" spans="1:9" s="68" customFormat="1" ht="14" x14ac:dyDescent="0.3">
      <c r="A81" s="69"/>
      <c r="C81" s="76"/>
      <c r="D81" s="76"/>
      <c r="F81" s="77"/>
    </row>
    <row r="82" spans="1:9" s="68" customFormat="1" ht="14" x14ac:dyDescent="0.3">
      <c r="A82" s="69"/>
      <c r="C82" s="76"/>
      <c r="D82" s="76"/>
      <c r="F82" s="77"/>
    </row>
    <row r="83" spans="1:9" s="68" customFormat="1" ht="14" x14ac:dyDescent="0.3">
      <c r="A83" s="69"/>
      <c r="C83" s="76"/>
      <c r="D83" s="76"/>
      <c r="F83" s="77"/>
    </row>
    <row r="84" spans="1:9" s="68" customFormat="1" ht="14" x14ac:dyDescent="0.3">
      <c r="A84" s="69"/>
      <c r="C84" s="76"/>
      <c r="D84" s="76"/>
      <c r="F84" s="77"/>
    </row>
    <row r="85" spans="1:9" s="68" customFormat="1" ht="14" x14ac:dyDescent="0.3">
      <c r="A85" s="69"/>
      <c r="C85" s="76"/>
      <c r="D85" s="76"/>
      <c r="F85" s="77"/>
    </row>
    <row r="86" spans="1:9" s="68" customFormat="1" ht="14" x14ac:dyDescent="0.3">
      <c r="A86" s="69"/>
      <c r="C86" s="76"/>
      <c r="D86" s="76"/>
      <c r="F86" s="77"/>
    </row>
    <row r="87" spans="1:9" s="68" customFormat="1" ht="14" x14ac:dyDescent="0.3">
      <c r="A87" s="69"/>
      <c r="C87" s="76"/>
      <c r="D87" s="76"/>
      <c r="F87" s="77"/>
    </row>
    <row r="88" spans="1:9" s="68" customFormat="1" ht="14" x14ac:dyDescent="0.3">
      <c r="A88" s="69"/>
      <c r="C88" s="76"/>
      <c r="D88" s="76"/>
      <c r="F88" s="77"/>
    </row>
    <row r="89" spans="1:9" x14ac:dyDescent="0.35">
      <c r="A89" s="72"/>
      <c r="B89" s="72"/>
      <c r="C89" s="54"/>
      <c r="D89" s="54"/>
      <c r="E89" s="54"/>
      <c r="F89" s="54"/>
      <c r="G89" s="54"/>
      <c r="H89" s="54"/>
      <c r="I89" s="54"/>
    </row>
    <row r="90" spans="1:9" x14ac:dyDescent="0.35">
      <c r="A90" s="75"/>
      <c r="B90" s="75"/>
      <c r="C90" s="75"/>
      <c r="D90" s="75"/>
      <c r="E90" s="75"/>
      <c r="F90" s="54"/>
      <c r="G90" s="54"/>
      <c r="H90" s="54"/>
      <c r="I90" s="54"/>
    </row>
    <row r="91" spans="1:9" x14ac:dyDescent="0.35">
      <c r="A91" s="67"/>
      <c r="B91" s="67"/>
      <c r="C91" s="67"/>
      <c r="D91" s="67"/>
      <c r="E91" s="67"/>
      <c r="F91" s="54"/>
      <c r="G91" s="54"/>
      <c r="H91" s="54"/>
      <c r="I91" s="54"/>
    </row>
    <row r="92" spans="1:9" x14ac:dyDescent="0.35">
      <c r="A92" s="67"/>
      <c r="B92" s="78"/>
      <c r="C92" s="67"/>
      <c r="D92" s="67"/>
      <c r="E92" s="67"/>
      <c r="F92" s="54"/>
      <c r="G92" s="54"/>
      <c r="H92" s="54"/>
      <c r="I92" s="54"/>
    </row>
    <row r="93" spans="1:9" x14ac:dyDescent="0.35">
      <c r="A93" s="54"/>
      <c r="B93" s="54"/>
      <c r="C93" s="54"/>
      <c r="D93" s="54"/>
      <c r="E93" s="54"/>
      <c r="F93" s="54"/>
      <c r="G93" s="54"/>
      <c r="H93" s="54"/>
      <c r="I93" s="54"/>
    </row>
    <row r="94" spans="1:9" x14ac:dyDescent="0.35">
      <c r="A94" s="54"/>
      <c r="B94" s="54"/>
      <c r="C94" s="54"/>
      <c r="D94" s="54"/>
      <c r="E94" s="54"/>
      <c r="F94" s="54"/>
      <c r="G94" s="54"/>
      <c r="H94" s="54"/>
      <c r="I94" s="54"/>
    </row>
    <row r="95" spans="1:9" x14ac:dyDescent="0.35">
      <c r="A95" s="54"/>
      <c r="B95" s="65"/>
      <c r="C95" s="54"/>
      <c r="D95" s="54"/>
      <c r="E95" s="54"/>
      <c r="F95" s="54"/>
      <c r="G95" s="54"/>
      <c r="H95" s="54"/>
      <c r="I95" s="54"/>
    </row>
    <row r="96" spans="1:9" x14ac:dyDescent="0.35">
      <c r="A96" s="54"/>
      <c r="B96" s="54"/>
      <c r="C96" s="54"/>
      <c r="D96" s="54"/>
      <c r="E96" s="54"/>
      <c r="F96" s="54"/>
      <c r="G96" s="54"/>
      <c r="H96" s="54"/>
      <c r="I96" s="54"/>
    </row>
    <row r="97" spans="1:9" x14ac:dyDescent="0.35">
      <c r="A97" s="54"/>
      <c r="B97" s="54"/>
      <c r="C97" s="54"/>
      <c r="D97" s="54"/>
      <c r="E97" s="54"/>
      <c r="F97" s="54"/>
      <c r="G97" s="54"/>
      <c r="H97" s="54"/>
      <c r="I97" s="54"/>
    </row>
    <row r="98" spans="1:9" x14ac:dyDescent="0.35">
      <c r="A98" s="54"/>
      <c r="B98" s="54"/>
      <c r="C98" s="54"/>
      <c r="D98" s="54"/>
      <c r="E98" s="54"/>
      <c r="F98" s="54"/>
      <c r="G98" s="54"/>
      <c r="H98" s="54"/>
      <c r="I98" s="54"/>
    </row>
    <row r="99" spans="1:9" x14ac:dyDescent="0.35">
      <c r="A99" s="54"/>
      <c r="B99" s="54"/>
      <c r="C99" s="54"/>
      <c r="D99" s="54"/>
      <c r="E99" s="54"/>
      <c r="F99" s="54"/>
      <c r="G99" s="54"/>
      <c r="H99" s="54"/>
      <c r="I99" s="54"/>
    </row>
    <row r="100" spans="1:9" x14ac:dyDescent="0.35">
      <c r="A100" s="54"/>
      <c r="B100" s="54"/>
      <c r="C100" s="54"/>
      <c r="D100" s="54"/>
      <c r="E100" s="54"/>
      <c r="F100" s="54"/>
      <c r="G100" s="54"/>
      <c r="H100" s="54"/>
      <c r="I100" s="54"/>
    </row>
    <row r="101" spans="1:9" x14ac:dyDescent="0.35">
      <c r="A101" s="54"/>
      <c r="B101" s="54"/>
      <c r="C101" s="54"/>
      <c r="D101" s="54"/>
      <c r="E101" s="54"/>
      <c r="F101" s="54"/>
      <c r="G101" s="54"/>
      <c r="H101" s="54"/>
      <c r="I101" s="54"/>
    </row>
    <row r="102" spans="1:9" x14ac:dyDescent="0.35">
      <c r="A102" s="54"/>
      <c r="B102" s="54"/>
      <c r="C102" s="54"/>
      <c r="D102" s="54"/>
      <c r="E102" s="54"/>
      <c r="F102" s="54"/>
      <c r="G102" s="54"/>
      <c r="H102" s="54"/>
      <c r="I102" s="54"/>
    </row>
    <row r="103" spans="1:9" x14ac:dyDescent="0.35">
      <c r="A103" s="54"/>
      <c r="B103" s="54"/>
      <c r="C103" s="54"/>
      <c r="D103" s="54"/>
      <c r="E103" s="54"/>
      <c r="F103" s="54"/>
      <c r="G103" s="54"/>
      <c r="H103" s="54"/>
      <c r="I103" s="54"/>
    </row>
    <row r="104" spans="1:9" x14ac:dyDescent="0.35">
      <c r="A104" s="54"/>
      <c r="B104" s="54"/>
      <c r="C104" s="54"/>
      <c r="D104" s="54"/>
      <c r="E104" s="54"/>
      <c r="F104" s="54"/>
      <c r="G104" s="54"/>
      <c r="H104" s="54"/>
      <c r="I104" s="54"/>
    </row>
    <row r="105" spans="1:9" x14ac:dyDescent="0.35">
      <c r="A105" s="54"/>
      <c r="B105" s="54"/>
      <c r="C105" s="54"/>
      <c r="D105" s="54"/>
      <c r="E105" s="54"/>
      <c r="F105" s="54"/>
      <c r="G105" s="54"/>
      <c r="H105" s="54"/>
      <c r="I105" s="54"/>
    </row>
    <row r="106" spans="1:9" x14ac:dyDescent="0.35">
      <c r="A106" s="54"/>
      <c r="B106" s="54"/>
      <c r="C106" s="54"/>
      <c r="D106" s="54"/>
      <c r="E106" s="54"/>
      <c r="F106" s="54"/>
      <c r="G106" s="54"/>
      <c r="H106" s="54"/>
      <c r="I106" s="54"/>
    </row>
    <row r="107" spans="1:9" x14ac:dyDescent="0.35">
      <c r="A107" s="54"/>
      <c r="B107" s="54"/>
      <c r="C107" s="54"/>
      <c r="D107" s="54"/>
      <c r="E107" s="54"/>
      <c r="F107" s="54"/>
      <c r="G107" s="54"/>
      <c r="H107" s="54"/>
      <c r="I107" s="54"/>
    </row>
    <row r="108" spans="1:9" x14ac:dyDescent="0.35">
      <c r="A108" s="54"/>
      <c r="B108" s="54"/>
      <c r="C108" s="54"/>
      <c r="D108" s="54"/>
      <c r="E108" s="54"/>
      <c r="F108" s="54"/>
      <c r="G108" s="54"/>
      <c r="H108" s="54"/>
      <c r="I108" s="54"/>
    </row>
    <row r="109" spans="1:9" x14ac:dyDescent="0.35">
      <c r="A109" s="54"/>
      <c r="B109" s="54"/>
      <c r="C109" s="54"/>
      <c r="D109" s="54"/>
      <c r="E109" s="54"/>
      <c r="F109" s="54"/>
      <c r="G109" s="54"/>
      <c r="H109" s="54"/>
      <c r="I109" s="54"/>
    </row>
    <row r="110" spans="1:9" x14ac:dyDescent="0.35">
      <c r="A110" s="54"/>
      <c r="B110" s="54"/>
      <c r="C110" s="54"/>
      <c r="D110" s="54"/>
      <c r="E110" s="54"/>
      <c r="F110" s="54"/>
      <c r="G110" s="54"/>
      <c r="H110" s="54"/>
      <c r="I110" s="54"/>
    </row>
    <row r="111" spans="1:9" x14ac:dyDescent="0.35">
      <c r="A111" s="54"/>
      <c r="B111" s="54"/>
      <c r="C111" s="54"/>
      <c r="D111" s="54"/>
      <c r="E111" s="54"/>
      <c r="F111" s="54"/>
      <c r="G111" s="54"/>
      <c r="H111" s="54"/>
      <c r="I111" s="54"/>
    </row>
  </sheetData>
  <mergeCells count="5">
    <mergeCell ref="A19:D19"/>
    <mergeCell ref="A1:G1"/>
    <mergeCell ref="A12:K12"/>
    <mergeCell ref="A14:K14"/>
    <mergeCell ref="A25:E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A288-344F-4F95-88EC-1CC8E1CD294F}">
  <dimension ref="A1:I4"/>
  <sheetViews>
    <sheetView zoomScale="85" zoomScaleNormal="85" workbookViewId="0">
      <selection activeCell="F18" sqref="F18"/>
    </sheetView>
  </sheetViews>
  <sheetFormatPr defaultRowHeight="14.5" x14ac:dyDescent="0.35"/>
  <cols>
    <col min="1" max="1" width="34.26953125" customWidth="1"/>
    <col min="2" max="2" width="25.81640625" customWidth="1"/>
    <col min="3" max="3" width="37.1796875" customWidth="1"/>
    <col min="4" max="4" width="21.7265625" style="1" customWidth="1"/>
    <col min="5" max="5" width="32" customWidth="1"/>
    <col min="6" max="6" width="44.26953125" customWidth="1"/>
    <col min="7" max="7" width="76.90625" customWidth="1"/>
    <col min="8" max="8" width="16.54296875" customWidth="1"/>
    <col min="9" max="9" width="29.54296875" customWidth="1"/>
  </cols>
  <sheetData>
    <row r="1" spans="1:9" ht="320" customHeight="1" x14ac:dyDescent="0.35">
      <c r="A1" s="133" t="s">
        <v>174</v>
      </c>
      <c r="B1" s="134"/>
      <c r="C1" s="134"/>
      <c r="D1" s="134"/>
      <c r="E1" s="134"/>
      <c r="F1" s="134"/>
      <c r="G1" s="134"/>
      <c r="H1" s="135"/>
      <c r="I1" s="84" t="s">
        <v>19</v>
      </c>
    </row>
    <row r="2" spans="1:9" x14ac:dyDescent="0.35">
      <c r="A2" s="96" t="s">
        <v>1</v>
      </c>
      <c r="B2" s="96" t="s">
        <v>2</v>
      </c>
      <c r="C2" s="96" t="s">
        <v>3</v>
      </c>
      <c r="D2" s="98" t="s">
        <v>4</v>
      </c>
      <c r="E2" s="80" t="s">
        <v>30</v>
      </c>
      <c r="F2" s="96" t="s">
        <v>5</v>
      </c>
      <c r="G2" s="96" t="s">
        <v>6</v>
      </c>
      <c r="H2" s="96" t="s">
        <v>7</v>
      </c>
    </row>
    <row r="3" spans="1:9" x14ac:dyDescent="0.35">
      <c r="A3" s="3" t="str">
        <f>'Fund Setup Instructions'!B3</f>
        <v>sample1</v>
      </c>
      <c r="B3" s="3" t="e" cm="1">
        <f t="array" ref="B3">SUBSTITUTE(SUBSTITUTE(TRIM(INDEX(Fund!M:M, MATCH("Tax ID", Fund!M:M, 0)+1)),"-","")," ","")</f>
        <v>#N/A</v>
      </c>
      <c r="C3" s="3" t="e" cm="1">
        <f t="array" ref="C3">IFERROR(INDEX(Fund!A:A,MATCH("Deal Name ",Fund!A:A,0)+1),IFERROR(INDEX(Fund!A:A,MATCH("Fund Name ",Fund!A:A,0)+1),INDEX('Upper Tier Fund'!A:A,MATCH("Fund",'Upper Tier Fund'!A:A,0)+1)))</f>
        <v>#N/A</v>
      </c>
      <c r="D3" s="4" t="e" cm="1">
        <f t="array" ref="D3">INDEX(Fund!O:O, MATCH("Expiration Date",Fund!O:O, 0)+1)</f>
        <v>#N/A</v>
      </c>
      <c r="E3" s="5" t="e" cm="1">
        <f t="array" ref="E3">IFERROR(INDEX(Fund!B:B, MATCH("Tax Credit Type ",Fund!B:B, 0)+1),INDEX('Upper Tier Fund'!C:C, MATCH("Fund Type",'Upper Tier Fund'!C:C, 0)+1))</f>
        <v>#N/A</v>
      </c>
      <c r="F3" s="83" t="str" cm="1">
        <f t="array" ref="F3">IFERROR(INDEX(Fund!P:P, MATCH("Fund Type", Fund!P:P, 0)+1), "")</f>
        <v/>
      </c>
      <c r="G3" s="85" t="s">
        <v>29</v>
      </c>
      <c r="H3" s="2">
        <v>1</v>
      </c>
    </row>
    <row r="4" spans="1:9" x14ac:dyDescent="0.35">
      <c r="D4"/>
    </row>
  </sheetData>
  <mergeCells count="1">
    <mergeCell ref="A1:H1"/>
  </mergeCells>
  <conditionalFormatting sqref="A3:D3">
    <cfRule type="expression" dxfId="18" priority="1">
      <formula>OR(A$3="",A$3="NA",A$3="N/A")</formula>
    </cfRule>
    <cfRule type="expression" dxfId="17" priority="2">
      <formula>ISERROR(A$3)</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33C9014F-4166-4458-9ACA-44AC43AC1C31}">
          <x14:formula1>
            <xm:f>'Data Validation'!$A$2:$A$7</xm:f>
          </x14:formula1>
          <xm:sqref>G3</xm:sqref>
        </x14:dataValidation>
        <x14:dataValidation type="list" allowBlank="1" showInputMessage="1" showErrorMessage="1" xr:uid="{993E4210-A87B-4F2F-B93F-E4D3C39043F0}">
          <x14:formula1>
            <xm:f>'Data Validation'!$E$2:$E$18</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40C9-6FDC-4BAE-82CB-B96906B2C796}">
  <dimension ref="A1:F4"/>
  <sheetViews>
    <sheetView zoomScale="85" zoomScaleNormal="85" workbookViewId="0">
      <selection activeCell="B15" sqref="B15"/>
    </sheetView>
  </sheetViews>
  <sheetFormatPr defaultRowHeight="14.5" x14ac:dyDescent="0.35"/>
  <cols>
    <col min="1" max="1" width="30.1796875" customWidth="1"/>
    <col min="2" max="2" width="47.7265625" customWidth="1"/>
    <col min="3" max="3" width="14.1796875" bestFit="1" customWidth="1"/>
    <col min="4" max="4" width="17.1796875" customWidth="1"/>
    <col min="5" max="5" width="12.1796875" style="1" customWidth="1"/>
    <col min="6" max="6" width="24.81640625" bestFit="1" customWidth="1"/>
  </cols>
  <sheetData>
    <row r="1" spans="1:6" ht="102.5" customHeight="1" x14ac:dyDescent="0.35">
      <c r="A1" s="136" t="s">
        <v>172</v>
      </c>
      <c r="B1" s="137"/>
      <c r="C1" s="137"/>
      <c r="D1" s="137"/>
      <c r="E1" s="138"/>
      <c r="F1" s="93" t="s">
        <v>19</v>
      </c>
    </row>
    <row r="2" spans="1:6" x14ac:dyDescent="0.35">
      <c r="A2" s="96" t="s">
        <v>1</v>
      </c>
      <c r="B2" s="96" t="s">
        <v>24</v>
      </c>
      <c r="C2" s="96" t="s">
        <v>31</v>
      </c>
      <c r="D2" s="96" t="s">
        <v>32</v>
      </c>
      <c r="E2" s="97" t="s">
        <v>33</v>
      </c>
    </row>
    <row r="3" spans="1:6" x14ac:dyDescent="0.35">
      <c r="A3" t="str">
        <f>'Fund Setup Instructions'!B$3</f>
        <v>sample1</v>
      </c>
      <c r="B3" t="e" cm="1">
        <f t="array" ref="B3">IFERROR(INDEX(Fund!N:N, MATCH("Fund Manager",Fund!N:N, 0)+1),INDEX('Upper Tier Fund'!B:B, MATCH("Fund Manager",'Upper Tier Fund'!B:B, 0)+1))</f>
        <v>#N/A</v>
      </c>
      <c r="C3" t="s">
        <v>34</v>
      </c>
      <c r="D3">
        <v>1</v>
      </c>
      <c r="E3" s="1" t="e" cm="1">
        <f t="array" ref="E3">IFERROR(INDEX(Fund!D:D,MATCH("Closing Date ",Fund!D:D,0)+1),INDEX('Upper Tier Fund'!D:D,MATCH("Closing Date",'Upper Tier Fund'!D:D,0)+1))</f>
        <v>#N/A</v>
      </c>
    </row>
    <row r="4" spans="1:6" x14ac:dyDescent="0.35">
      <c r="A4" t="str">
        <f>'Fund Setup Instructions'!B$3</f>
        <v>sample1</v>
      </c>
      <c r="B4" t="e" cm="1">
        <f t="array" ref="B4">INDEX(Fund!I:I, MATCH("General Partner ",Fund!I:I, 0)+1)</f>
        <v>#N/A</v>
      </c>
      <c r="C4" t="s">
        <v>36</v>
      </c>
      <c r="D4">
        <v>1</v>
      </c>
      <c r="E4" s="1" t="e" cm="1">
        <f t="array" ref="E4">INDEX(Fund!E:E,MATCH("Amort Start Date",Fund!E:E,0)+1)</f>
        <v>#N/A</v>
      </c>
    </row>
  </sheetData>
  <mergeCells count="1">
    <mergeCell ref="A1:E1"/>
  </mergeCells>
  <conditionalFormatting sqref="A3:E4">
    <cfRule type="expression" dxfId="16" priority="1">
      <formula>ISERROR($B3)</formula>
    </cfRule>
    <cfRule type="expression" dxfId="15" priority="2">
      <formula>OR($B3=0, $B3="", ISNA($B3), $B3="NA")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08B5-417F-4139-8021-8BCB720DE8CB}">
  <dimension ref="A1:K3"/>
  <sheetViews>
    <sheetView zoomScale="85" zoomScaleNormal="85" workbookViewId="0">
      <selection activeCell="H4" sqref="H4"/>
    </sheetView>
  </sheetViews>
  <sheetFormatPr defaultRowHeight="14.5" x14ac:dyDescent="0.35"/>
  <cols>
    <col min="1" max="1" width="30.1796875" customWidth="1"/>
    <col min="2" max="2" width="22.90625" customWidth="1"/>
    <col min="3" max="3" width="26.1796875" bestFit="1" customWidth="1"/>
    <col min="4" max="4" width="21.6328125" bestFit="1" customWidth="1"/>
    <col min="5" max="5" width="17.90625" customWidth="1"/>
    <col min="6" max="6" width="17.6328125" customWidth="1"/>
    <col min="7" max="7" width="15.7265625" customWidth="1"/>
    <col min="8" max="8" width="20.90625" bestFit="1" customWidth="1"/>
    <col min="9" max="9" width="20" bestFit="1" customWidth="1"/>
    <col min="10" max="10" width="15.81640625" customWidth="1"/>
    <col min="11" max="11" width="25.08984375" bestFit="1" customWidth="1"/>
  </cols>
  <sheetData>
    <row r="1" spans="1:11" ht="154" customHeight="1" x14ac:dyDescent="0.35">
      <c r="A1" s="133" t="s">
        <v>129</v>
      </c>
      <c r="B1" s="134"/>
      <c r="C1" s="134"/>
      <c r="D1" s="134"/>
      <c r="E1" s="134"/>
      <c r="F1" s="134"/>
      <c r="G1" s="134"/>
      <c r="H1" s="134"/>
      <c r="I1" s="134"/>
      <c r="J1" s="135"/>
      <c r="K1" s="92" t="s">
        <v>19</v>
      </c>
    </row>
    <row r="2" spans="1:11" x14ac:dyDescent="0.35">
      <c r="A2" s="94" t="s">
        <v>1</v>
      </c>
      <c r="B2" s="94" t="s">
        <v>37</v>
      </c>
      <c r="C2" s="94" t="s">
        <v>38</v>
      </c>
      <c r="D2" s="94" t="s">
        <v>31</v>
      </c>
      <c r="E2" s="94" t="s">
        <v>39</v>
      </c>
      <c r="F2" s="94" t="s">
        <v>22</v>
      </c>
      <c r="G2" s="94" t="s">
        <v>23</v>
      </c>
      <c r="H2" s="94" t="s">
        <v>21</v>
      </c>
      <c r="I2" s="94" t="s">
        <v>8</v>
      </c>
      <c r="J2" s="94" t="s">
        <v>40</v>
      </c>
    </row>
    <row r="3" spans="1:11" x14ac:dyDescent="0.35">
      <c r="A3" t="str">
        <f>'Fund Setup Instructions'!B$3</f>
        <v>sample1</v>
      </c>
      <c r="B3" t="e" cm="1">
        <f t="array" ref="B3">SUBSTITUTE(SUBSTITUTE(TRIM(INDEX(Fund!M:M, MATCH("Tax ID", Fund!M:M, 0)+1)),"-","")," ","")</f>
        <v>#N/A</v>
      </c>
      <c r="C3" t="e" cm="1">
        <f t="array" ref="C3">IFERROR(INDEX(Fund!A:A,MATCH("Deal Name ",Fund!A:A,0)+1),IFERROR(INDEX(Fund!A:A,MATCH("Fund Name ",Fund!A:A,0)+1),INDEX('Upper Tier Fund'!A:A,MATCH("Fund",'Upper Tier Fund'!A:A,0)+1)))</f>
        <v>#N/A</v>
      </c>
      <c r="D3" t="s">
        <v>35</v>
      </c>
      <c r="E3" t="e" cm="1">
        <f t="array" ref="E3">INDEX(Fund!F:F, MATCH("Partnership City ",Fund!F:F, 0)+1)</f>
        <v>#N/A</v>
      </c>
      <c r="F3" t="e" cm="1">
        <f t="array" ref="F3">INDEX(Fund!G:G, MATCH("Partnership State ",Fund!G:G, 0)+1)</f>
        <v>#N/A</v>
      </c>
      <c r="G3" t="e" cm="1">
        <f t="array" ref="G3">INDEX(Fund!H:H, MATCH("Postal Code ",Fund!H:H, 0)+1)</f>
        <v>#N/A</v>
      </c>
      <c r="H3" t="e" cm="1">
        <f t="array" ref="H3">IFERROR(INDEX(Fund!B:B, MATCH("Tax Credit Type ",Fund!B:B, 0)+1),INDEX('Upper Tier Fund'!C:C,MATCH("Fund Type",'Upper Tier Fund'!C:C,0)+1))</f>
        <v>#N/A</v>
      </c>
      <c r="I3" t="e" cm="1">
        <f t="array" ref="I3">INDEX(Fund!C:C, MATCH("Real Estate Type ",Fund!C:C, 0)+1)</f>
        <v>#N/A</v>
      </c>
      <c r="J3" t="s">
        <v>107</v>
      </c>
    </row>
  </sheetData>
  <mergeCells count="1">
    <mergeCell ref="A1:J1"/>
  </mergeCells>
  <conditionalFormatting sqref="B3:C3">
    <cfRule type="expression" dxfId="14" priority="4">
      <formula>IFERROR( OR( B$3="", B$3=0, B$3="NA", B$3="N/A", ISERROR(B$3) ), TRUE )</formula>
    </cfRule>
  </conditionalFormatting>
  <conditionalFormatting sqref="E3:G3">
    <cfRule type="expression" dxfId="13" priority="3">
      <formula>IFERROR( OR( E$3="", E$3=0, E$3="NA", E$3="N/A", ISERROR(E$3) ), TRUE )</formula>
    </cfRule>
  </conditionalFormatting>
  <conditionalFormatting sqref="I3">
    <cfRule type="expression" dxfId="12" priority="2">
      <formula>IFERROR( OR( I$3="", I$3=0, I$3="NA", I$3="N/A", ISERROR(I$3) ), TRUE )</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DD9A-1AC2-4366-A951-82D811454E4F}">
  <dimension ref="A1:I9"/>
  <sheetViews>
    <sheetView zoomScale="85" zoomScaleNormal="85" workbookViewId="0">
      <selection activeCell="A2" sqref="A2:H2"/>
    </sheetView>
  </sheetViews>
  <sheetFormatPr defaultRowHeight="14.5" x14ac:dyDescent="0.35"/>
  <cols>
    <col min="1" max="1" width="27.26953125" customWidth="1"/>
    <col min="2" max="2" width="35.81640625" customWidth="1"/>
    <col min="3" max="3" width="15.453125" style="1" customWidth="1"/>
    <col min="4" max="4" width="14.36328125" customWidth="1"/>
    <col min="5" max="5" width="15.453125" customWidth="1"/>
    <col min="6" max="6" width="20.7265625" customWidth="1"/>
    <col min="7" max="7" width="14.453125" bestFit="1" customWidth="1"/>
    <col min="8" max="8" width="17" bestFit="1" customWidth="1"/>
    <col min="9" max="9" width="25.08984375" bestFit="1" customWidth="1"/>
  </cols>
  <sheetData>
    <row r="1" spans="1:9" ht="131.5" customHeight="1" x14ac:dyDescent="0.35">
      <c r="A1" s="136" t="s">
        <v>132</v>
      </c>
      <c r="B1" s="137"/>
      <c r="C1" s="137"/>
      <c r="D1" s="137"/>
      <c r="E1" s="137"/>
      <c r="F1" s="137"/>
      <c r="G1" s="137"/>
      <c r="H1" s="138"/>
      <c r="I1" s="91" t="s">
        <v>19</v>
      </c>
    </row>
    <row r="2" spans="1:9" x14ac:dyDescent="0.35">
      <c r="A2" s="94" t="s">
        <v>1</v>
      </c>
      <c r="B2" s="94" t="s">
        <v>41</v>
      </c>
      <c r="C2" s="95" t="s">
        <v>42</v>
      </c>
      <c r="D2" s="94" t="s">
        <v>43</v>
      </c>
      <c r="E2" s="94" t="s">
        <v>25</v>
      </c>
      <c r="F2" s="94" t="s">
        <v>44</v>
      </c>
      <c r="G2" s="94" t="s">
        <v>45</v>
      </c>
      <c r="H2" s="94" t="s">
        <v>46</v>
      </c>
    </row>
    <row r="3" spans="1:9" x14ac:dyDescent="0.35">
      <c r="A3" t="str">
        <f>'Fund Setup Instructions'!B$3</f>
        <v>sample1</v>
      </c>
      <c r="B3" s="8" t="e" cm="1">
        <f t="array" ref="B3:B9">IFERROR(INDEX(Fund!J:J,MATCH("Legal Entity/Account ",Fund!J:J,0)+_xlfn.SEQUENCE(7)),IFERROR(INDEX('Upper Tier Fund'!F:F,MATCH("Legal Entities",'Upper Tier Fund'!F:F,0)+_xlfn.SEQUENCE(7)),INDEX('Upper Tier Fund'!E:E,MATCH("Legal Entities",'Upper Tier Fund'!E:E,0)+_xlfn.SEQUENCE(7))))</f>
        <v>#N/A</v>
      </c>
      <c r="C3" s="81" t="e" cm="1">
        <f t="array" ref="C3">IFERROR(INDEX(Fund!D:D,MATCH("Closing Date ",Fund!D:D,0)+1),INDEX('Upper Tier Fund'!D:D,MATCH("Closing Date",'Upper Tier Fund'!D:D,0)+1))</f>
        <v>#N/A</v>
      </c>
      <c r="D3" s="41" t="s">
        <v>47</v>
      </c>
      <c r="E3" s="8" t="e" cm="1">
        <f t="array" ref="E3:E9">IFERROR(INDEX(Fund!K:K,MATCH("Commitment ",Fund!K:K,0)+_xlfn.SEQUENCE(7))/
SUM(INDEX(Fund!K:K,MATCH("Commitment ",Fund!K:K,0)+_xlfn.SEQUENCE(7))),IFERROR(INDEX('Upper Tier Fund'!G:G,MATCH("Original Commitment",'Upper Tier Fund'!G:G,0)+_xlfn.SEQUENCE(7))/
SUM(INDEX('Upper Tier Fund'!G:G,MATCH("Original Commitment",'Upper Tier Fund'!G:G,0)+_xlfn.SEQUENCE(7))),INDEX('Upper Tier Fund'!F:F,MATCH("Original Commitment",'Upper Tier Fund'!F:F,0)+_xlfn.SEQUENCE(7))/
SUM(INDEX('Upper Tier Fund'!F:F,MATCH("Original Commitment",'Upper Tier Fund'!F:F,0)+_xlfn.SEQUENCE(7)))))</f>
        <v>#N/A</v>
      </c>
      <c r="F3" s="10" t="str" cm="1">
        <f t="array" ref="F3:F9">IFERROR(INDEX(Fund!L:L,MATCH("Ownership ",Fund!L:L,0)+_xlfn.SEQUENCE(7)),"")</f>
        <v/>
      </c>
      <c r="G3" s="8" t="s">
        <v>20</v>
      </c>
      <c r="H3" s="10" t="s">
        <v>20</v>
      </c>
    </row>
    <row r="4" spans="1:9" x14ac:dyDescent="0.35">
      <c r="A4" t="str">
        <f>'Fund Setup Instructions'!B$3</f>
        <v>sample1</v>
      </c>
      <c r="B4" s="9" t="e">
        <v>#N/A</v>
      </c>
      <c r="C4" s="82" t="e" cm="1">
        <f t="array" ref="C4">IFERROR(INDEX(Fund!D:D,MATCH("Closing Date ",Fund!D:D,0)+1),INDEX('Upper Tier Fund'!D:D,MATCH("Closing Date",'Upper Tier Fund'!D:D,0)+1))</f>
        <v>#N/A</v>
      </c>
      <c r="D4" s="30" t="s">
        <v>47</v>
      </c>
      <c r="E4" s="9" t="e">
        <v>#N/A</v>
      </c>
      <c r="F4" s="11" t="str">
        <v/>
      </c>
      <c r="G4" s="9" t="s">
        <v>20</v>
      </c>
      <c r="H4" s="11" t="s">
        <v>20</v>
      </c>
    </row>
    <row r="5" spans="1:9" x14ac:dyDescent="0.35">
      <c r="A5" t="str">
        <f>'Fund Setup Instructions'!B$3</f>
        <v>sample1</v>
      </c>
      <c r="B5" s="9" t="e">
        <v>#N/A</v>
      </c>
      <c r="C5" s="82" t="e" cm="1">
        <f t="array" ref="C5">IFERROR(INDEX(Fund!D:D,MATCH("Closing Date ",Fund!D:D,0)+1),INDEX('Upper Tier Fund'!D:D,MATCH("Closing Date",'Upper Tier Fund'!D:D,0)+1))</f>
        <v>#N/A</v>
      </c>
      <c r="D5" s="30" t="s">
        <v>47</v>
      </c>
      <c r="E5" s="9" t="e">
        <v>#N/A</v>
      </c>
      <c r="F5" s="11" t="str">
        <v/>
      </c>
      <c r="G5" s="9" t="s">
        <v>20</v>
      </c>
      <c r="H5" s="11" t="s">
        <v>20</v>
      </c>
    </row>
    <row r="6" spans="1:9" x14ac:dyDescent="0.35">
      <c r="A6" t="str">
        <f>'Fund Setup Instructions'!B$3</f>
        <v>sample1</v>
      </c>
      <c r="B6" s="9" t="e">
        <v>#N/A</v>
      </c>
      <c r="C6" s="82" t="e" cm="1">
        <f t="array" ref="C6">IFERROR(INDEX(Fund!D:D,MATCH("Closing Date ",Fund!D:D,0)+1),INDEX('Upper Tier Fund'!D:D,MATCH("Closing Date",'Upper Tier Fund'!D:D,0)+1))</f>
        <v>#N/A</v>
      </c>
      <c r="D6" s="30" t="s">
        <v>47</v>
      </c>
      <c r="E6" s="9" t="e">
        <v>#N/A</v>
      </c>
      <c r="F6" s="11" t="str">
        <v/>
      </c>
      <c r="G6" s="9" t="s">
        <v>20</v>
      </c>
      <c r="H6" s="11" t="s">
        <v>20</v>
      </c>
    </row>
    <row r="7" spans="1:9" x14ac:dyDescent="0.35">
      <c r="A7" t="str">
        <f>'Fund Setup Instructions'!B$3</f>
        <v>sample1</v>
      </c>
      <c r="B7" s="9" t="e">
        <v>#N/A</v>
      </c>
      <c r="C7" s="82" t="e" cm="1">
        <f t="array" ref="C7">IFERROR(INDEX(Fund!D:D,MATCH("Closing Date ",Fund!D:D,0)+1),INDEX('Upper Tier Fund'!D:D,MATCH("Closing Date",'Upper Tier Fund'!D:D,0)+1))</f>
        <v>#N/A</v>
      </c>
      <c r="D7" s="30" t="s">
        <v>47</v>
      </c>
      <c r="E7" s="9" t="e">
        <v>#N/A</v>
      </c>
      <c r="F7" s="11" t="str">
        <v/>
      </c>
      <c r="G7" s="9" t="s">
        <v>20</v>
      </c>
      <c r="H7" s="11" t="s">
        <v>20</v>
      </c>
    </row>
    <row r="8" spans="1:9" x14ac:dyDescent="0.35">
      <c r="A8" t="str">
        <f>'Fund Setup Instructions'!B$3</f>
        <v>sample1</v>
      </c>
      <c r="B8" s="9" t="e">
        <v>#N/A</v>
      </c>
      <c r="C8" s="82" t="e" cm="1">
        <f t="array" ref="C8">IFERROR(INDEX(Fund!D:D,MATCH("Closing Date ",Fund!D:D,0)+1),INDEX('Upper Tier Fund'!D:D,MATCH("Closing Date",'Upper Tier Fund'!D:D,0)+1))</f>
        <v>#N/A</v>
      </c>
      <c r="D8" s="30" t="s">
        <v>47</v>
      </c>
      <c r="E8" s="9" t="e">
        <v>#N/A</v>
      </c>
      <c r="F8" s="11" t="str">
        <v/>
      </c>
      <c r="G8" s="9" t="s">
        <v>20</v>
      </c>
      <c r="H8" s="11" t="s">
        <v>20</v>
      </c>
    </row>
    <row r="9" spans="1:9" x14ac:dyDescent="0.35">
      <c r="A9" t="str">
        <f>'Fund Setup Instructions'!B$3</f>
        <v>sample1</v>
      </c>
      <c r="B9" s="9" t="e">
        <v>#N/A</v>
      </c>
      <c r="C9" s="82" t="e" cm="1">
        <f t="array" ref="C9">IFERROR(INDEX(Fund!D:D,MATCH("Closing Date ",Fund!D:D,0)+1),INDEX('Upper Tier Fund'!D:D,MATCH("Closing Date",'Upper Tier Fund'!D:D,0)+1))</f>
        <v>#N/A</v>
      </c>
      <c r="D9" s="30" t="s">
        <v>47</v>
      </c>
      <c r="E9" s="9" t="e">
        <v>#N/A</v>
      </c>
      <c r="F9" s="11" t="str">
        <v/>
      </c>
      <c r="G9" s="9" t="s">
        <v>20</v>
      </c>
      <c r="H9" s="11" t="s">
        <v>20</v>
      </c>
    </row>
  </sheetData>
  <mergeCells count="1">
    <mergeCell ref="A1:H1"/>
  </mergeCells>
  <conditionalFormatting sqref="A3:H9">
    <cfRule type="expression" dxfId="11" priority="1">
      <formula>ISERROR($B3)</formula>
    </cfRule>
    <cfRule type="expression" dxfId="10" priority="2">
      <formula>OR($B3=0, $B3="", ISNA($B3), $B3="NA")</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88C1-56A9-46D6-8D9A-1A9D3AA3A921}">
  <dimension ref="A1:H3"/>
  <sheetViews>
    <sheetView zoomScale="85" zoomScaleNormal="85" workbookViewId="0">
      <selection activeCell="D4" sqref="D4"/>
    </sheetView>
  </sheetViews>
  <sheetFormatPr defaultRowHeight="14.5" x14ac:dyDescent="0.35"/>
  <cols>
    <col min="1" max="1" width="32.453125" customWidth="1"/>
    <col min="2" max="2" width="24.81640625" bestFit="1" customWidth="1"/>
    <col min="3" max="3" width="24.36328125" customWidth="1"/>
    <col min="4" max="4" width="25.7265625" style="1" customWidth="1"/>
    <col min="5" max="5" width="27.453125" customWidth="1"/>
    <col min="8" max="8" width="10.7265625" bestFit="1" customWidth="1"/>
  </cols>
  <sheetData>
    <row r="1" spans="1:8" ht="63.5" customHeight="1" x14ac:dyDescent="0.35">
      <c r="A1" s="136" t="s">
        <v>128</v>
      </c>
      <c r="B1" s="137"/>
      <c r="C1" s="137"/>
      <c r="D1" s="138"/>
      <c r="E1" s="90" t="s">
        <v>19</v>
      </c>
      <c r="F1" s="7"/>
      <c r="H1" s="1"/>
    </row>
    <row r="2" spans="1:8" s="12" customFormat="1" x14ac:dyDescent="0.35">
      <c r="A2" s="96" t="s">
        <v>1</v>
      </c>
      <c r="B2" s="96" t="s">
        <v>5</v>
      </c>
      <c r="C2" s="96" t="s">
        <v>55</v>
      </c>
      <c r="D2" s="97" t="s">
        <v>56</v>
      </c>
    </row>
    <row r="3" spans="1:8" x14ac:dyDescent="0.35">
      <c r="A3" t="str">
        <f>'Fund Setup Instructions'!B$3</f>
        <v>sample1</v>
      </c>
      <c r="B3" s="3" t="s">
        <v>57</v>
      </c>
      <c r="C3" t="e" cm="1">
        <f t="array" ref="C3">IFERROR(
SUM(INDEX(Fund!K:K,MATCH("Commitment ",Fund!K:K,0)+_xlfn.SEQUENCE(7))), IFERROR(
SUM(INDEX('Upper Tier Fund'!G:G,MATCH("Original Commitment",'Upper Tier Fund'!G:G,0)+_xlfn.SEQUENCE(7))),
SUM(INDEX('Upper Tier Fund'!F:F,MATCH("Original Commitment",'Upper Tier Fund'!F:F,0)+_xlfn.SEQUENCE(7)))))</f>
        <v>#N/A</v>
      </c>
      <c r="D3" s="1" t="e" cm="1">
        <f t="array" ref="D3">IFERROR(INDEX(Fund!D:D,MATCH("Closing Date ",Fund!D:D,0)+1),INDEX('Upper Tier Fund'!D:D,MATCH("Closing Date",'Upper Tier Fund'!D:D,0)+1))</f>
        <v>#N/A</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230A-9591-4372-8DC1-F10D4925B722}">
  <dimension ref="A1:K53"/>
  <sheetViews>
    <sheetView tabSelected="1" workbookViewId="0">
      <selection activeCell="A13" sqref="A13"/>
    </sheetView>
  </sheetViews>
  <sheetFormatPr defaultRowHeight="14.5" x14ac:dyDescent="0.35"/>
  <cols>
    <col min="1" max="1" width="34.36328125" bestFit="1" customWidth="1"/>
    <col min="2" max="2" width="18.36328125" bestFit="1" customWidth="1"/>
    <col min="3" max="3" width="30.26953125" bestFit="1" customWidth="1"/>
    <col min="5" max="5" width="25.453125" bestFit="1" customWidth="1"/>
    <col min="6" max="6" width="10.36328125" bestFit="1" customWidth="1"/>
    <col min="7" max="7" width="27.36328125" style="1" bestFit="1" customWidth="1"/>
    <col min="8" max="8" width="18.26953125" style="1" customWidth="1"/>
    <col min="9" max="9" width="18.36328125" bestFit="1" customWidth="1"/>
    <col min="10" max="10" width="19.6328125" style="1" customWidth="1"/>
  </cols>
  <sheetData>
    <row r="1" spans="1:10" ht="44.5" customHeight="1" x14ac:dyDescent="0.35">
      <c r="A1" s="103" t="s">
        <v>118</v>
      </c>
      <c r="C1" s="103" t="s">
        <v>119</v>
      </c>
      <c r="E1" s="40" t="s">
        <v>120</v>
      </c>
      <c r="F1" s="103" t="s">
        <v>158</v>
      </c>
      <c r="H1" s="141" t="s">
        <v>168</v>
      </c>
      <c r="I1" s="142"/>
      <c r="J1"/>
    </row>
    <row r="2" spans="1:10" x14ac:dyDescent="0.35">
      <c r="A2" s="30" t="s">
        <v>10</v>
      </c>
      <c r="C2" s="30" t="s">
        <v>52</v>
      </c>
      <c r="E2" s="41" t="s">
        <v>13</v>
      </c>
      <c r="F2" s="41">
        <v>8</v>
      </c>
      <c r="H2" s="123" t="s">
        <v>166</v>
      </c>
      <c r="I2" s="111" t="s">
        <v>134</v>
      </c>
      <c r="J2"/>
    </row>
    <row r="3" spans="1:10" x14ac:dyDescent="0.35">
      <c r="A3" s="30" t="s">
        <v>28</v>
      </c>
      <c r="C3" s="31" t="s">
        <v>80</v>
      </c>
      <c r="E3" s="30" t="s">
        <v>10</v>
      </c>
      <c r="F3" s="30">
        <v>7</v>
      </c>
      <c r="H3" s="108"/>
      <c r="I3" s="122"/>
      <c r="J3"/>
    </row>
    <row r="4" spans="1:10" x14ac:dyDescent="0.35">
      <c r="A4" s="30" t="s">
        <v>9</v>
      </c>
      <c r="E4" s="30" t="s">
        <v>14</v>
      </c>
      <c r="F4" s="30">
        <v>5</v>
      </c>
      <c r="H4" s="108"/>
      <c r="I4" s="122"/>
      <c r="J4"/>
    </row>
    <row r="5" spans="1:10" x14ac:dyDescent="0.35">
      <c r="A5" s="30" t="s">
        <v>12</v>
      </c>
      <c r="E5" s="30" t="s">
        <v>87</v>
      </c>
      <c r="F5" s="30">
        <v>2</v>
      </c>
      <c r="H5" s="108"/>
      <c r="I5" s="122"/>
      <c r="J5"/>
    </row>
    <row r="6" spans="1:10" x14ac:dyDescent="0.35">
      <c r="A6" s="30" t="s">
        <v>176</v>
      </c>
      <c r="E6" s="30" t="s">
        <v>88</v>
      </c>
      <c r="F6" s="30">
        <v>2</v>
      </c>
      <c r="H6" s="108"/>
      <c r="I6" s="122"/>
      <c r="J6"/>
    </row>
    <row r="7" spans="1:10" x14ac:dyDescent="0.35">
      <c r="A7" s="31" t="s">
        <v>11</v>
      </c>
      <c r="E7" s="30" t="s">
        <v>89</v>
      </c>
      <c r="F7" s="30">
        <v>3</v>
      </c>
      <c r="H7" s="108"/>
      <c r="I7" s="122"/>
      <c r="J7"/>
    </row>
    <row r="8" spans="1:10" x14ac:dyDescent="0.35">
      <c r="E8" s="30" t="s">
        <v>90</v>
      </c>
      <c r="F8" s="30">
        <v>3</v>
      </c>
      <c r="H8" s="108"/>
      <c r="I8" s="122"/>
      <c r="J8"/>
    </row>
    <row r="9" spans="1:10" x14ac:dyDescent="0.35">
      <c r="E9" s="30" t="s">
        <v>91</v>
      </c>
      <c r="F9" s="30">
        <v>6</v>
      </c>
      <c r="H9" s="108"/>
      <c r="I9" s="122"/>
      <c r="J9"/>
    </row>
    <row r="10" spans="1:10" x14ac:dyDescent="0.35">
      <c r="E10" s="30" t="s">
        <v>92</v>
      </c>
      <c r="F10" s="30">
        <v>6</v>
      </c>
      <c r="H10" s="108"/>
      <c r="I10" s="122"/>
      <c r="J10"/>
    </row>
    <row r="11" spans="1:10" x14ac:dyDescent="0.35">
      <c r="E11" s="30" t="s">
        <v>93</v>
      </c>
      <c r="F11" s="30">
        <v>7</v>
      </c>
      <c r="H11"/>
      <c r="J11"/>
    </row>
    <row r="12" spans="1:10" x14ac:dyDescent="0.35">
      <c r="E12" s="30" t="s">
        <v>94</v>
      </c>
      <c r="F12" s="30">
        <v>2</v>
      </c>
      <c r="H12"/>
      <c r="J12"/>
    </row>
    <row r="13" spans="1:10" x14ac:dyDescent="0.35">
      <c r="E13" s="30" t="s">
        <v>95</v>
      </c>
      <c r="F13" s="30">
        <v>4</v>
      </c>
      <c r="H13"/>
      <c r="J13"/>
    </row>
    <row r="14" spans="1:10" x14ac:dyDescent="0.35">
      <c r="E14" s="30" t="s">
        <v>11</v>
      </c>
      <c r="F14" s="30">
        <v>4</v>
      </c>
      <c r="H14"/>
      <c r="J14"/>
    </row>
    <row r="15" spans="1:10" x14ac:dyDescent="0.35">
      <c r="E15" s="30" t="s">
        <v>96</v>
      </c>
      <c r="F15" s="30">
        <v>4</v>
      </c>
    </row>
    <row r="16" spans="1:10" x14ac:dyDescent="0.35">
      <c r="E16" s="30" t="s">
        <v>97</v>
      </c>
      <c r="F16" s="30">
        <v>4</v>
      </c>
    </row>
    <row r="17" spans="1:11" x14ac:dyDescent="0.35">
      <c r="E17" s="30" t="s">
        <v>98</v>
      </c>
      <c r="F17" s="30">
        <v>1</v>
      </c>
    </row>
    <row r="18" spans="1:11" x14ac:dyDescent="0.35">
      <c r="E18" s="31" t="s">
        <v>99</v>
      </c>
      <c r="F18" s="31">
        <v>1</v>
      </c>
    </row>
    <row r="20" spans="1:11" x14ac:dyDescent="0.35">
      <c r="A20" s="32" t="s">
        <v>1</v>
      </c>
      <c r="B20" s="32"/>
      <c r="C20" s="32" t="s">
        <v>134</v>
      </c>
      <c r="D20" s="32" t="s">
        <v>33</v>
      </c>
      <c r="E20" s="32" t="s">
        <v>135</v>
      </c>
      <c r="F20" s="32" t="s">
        <v>136</v>
      </c>
      <c r="G20" s="104" t="s">
        <v>137</v>
      </c>
      <c r="H20" s="104" t="s">
        <v>138</v>
      </c>
      <c r="I20" s="32" t="s">
        <v>151</v>
      </c>
      <c r="J20" s="104" t="s">
        <v>152</v>
      </c>
      <c r="K20" s="104" t="s">
        <v>157</v>
      </c>
    </row>
    <row r="21" spans="1:11" x14ac:dyDescent="0.35">
      <c r="A21" s="9" t="s">
        <v>16</v>
      </c>
      <c r="B21" t="s">
        <v>146</v>
      </c>
      <c r="C21">
        <v>2</v>
      </c>
      <c r="D21" t="e" cm="1">
        <f t="array" ref="D21">IFERROR(INDEX(Fund!D:D,MATCH("Closing Date ",Fund!D:D,0)+1),INDEX('Upper Tier Fund'!D:D,MATCH("Closing Date",'Upper Tier Fund'!D:D,0)+1))</f>
        <v>#N/A</v>
      </c>
      <c r="E21" t="s">
        <v>140</v>
      </c>
      <c r="F21" t="s">
        <v>139</v>
      </c>
      <c r="G21" s="1">
        <v>46203</v>
      </c>
      <c r="H21" s="1">
        <v>46249</v>
      </c>
      <c r="I21" t="s">
        <v>175</v>
      </c>
      <c r="J21" s="105">
        <v>46157</v>
      </c>
      <c r="K21" s="41">
        <v>1</v>
      </c>
    </row>
    <row r="22" spans="1:11" x14ac:dyDescent="0.35">
      <c r="A22" s="9" t="s">
        <v>16</v>
      </c>
      <c r="B22" t="s">
        <v>143</v>
      </c>
      <c r="C22">
        <v>4</v>
      </c>
      <c r="D22" t="e" cm="1">
        <f t="array" ref="D22">IFERROR(INDEX(Fund!D:D,MATCH("Closing Date ",Fund!D:D,0)+1),INDEX('Upper Tier Fund'!D:D,MATCH("Closing Date",'Upper Tier Fund'!D:D,0)+1))</f>
        <v>#N/A</v>
      </c>
      <c r="E22" t="s">
        <v>140</v>
      </c>
      <c r="F22" t="s">
        <v>141</v>
      </c>
      <c r="G22" s="1">
        <v>46387</v>
      </c>
      <c r="H22" s="1">
        <v>46461</v>
      </c>
      <c r="I22" t="s">
        <v>175</v>
      </c>
      <c r="J22" s="105">
        <v>46461</v>
      </c>
      <c r="K22" s="30">
        <v>1</v>
      </c>
    </row>
    <row r="23" spans="1:11" x14ac:dyDescent="0.35">
      <c r="A23" s="9" t="s">
        <v>16</v>
      </c>
      <c r="B23" t="s">
        <v>142</v>
      </c>
      <c r="C23">
        <v>17</v>
      </c>
      <c r="D23" t="e" cm="1">
        <f t="array" ref="D23">IFERROR(INDEX(Fund!D:D,MATCH("Closing Date ",Fund!D:D,0)+1),INDEX('Upper Tier Fund'!D:D,MATCH("Closing Date",'Upper Tier Fund'!D:D,0)+1))</f>
        <v>#N/A</v>
      </c>
      <c r="E23" t="s">
        <v>140</v>
      </c>
      <c r="F23" t="s">
        <v>141</v>
      </c>
      <c r="G23" s="1">
        <v>46387</v>
      </c>
      <c r="H23" s="1">
        <v>46461</v>
      </c>
      <c r="I23" t="s">
        <v>175</v>
      </c>
      <c r="J23" s="105">
        <v>46461</v>
      </c>
      <c r="K23" s="30">
        <v>1</v>
      </c>
    </row>
    <row r="24" spans="1:11" x14ac:dyDescent="0.35">
      <c r="A24" s="9" t="s">
        <v>16</v>
      </c>
      <c r="B24" t="s">
        <v>148</v>
      </c>
      <c r="C24">
        <v>33</v>
      </c>
      <c r="D24" t="e" cm="1">
        <f t="array" ref="D24">IFERROR(INDEX(Fund!D:D,MATCH("Closing Date ",Fund!D:D,0)+1),INDEX('Upper Tier Fund'!D:D,MATCH("Closing Date",'Upper Tier Fund'!D:D,0)+1))</f>
        <v>#N/A</v>
      </c>
      <c r="E24" t="s">
        <v>140</v>
      </c>
      <c r="F24" t="s">
        <v>139</v>
      </c>
      <c r="G24" s="1">
        <v>46203</v>
      </c>
      <c r="H24" s="1">
        <v>46249</v>
      </c>
      <c r="I24" t="s">
        <v>175</v>
      </c>
      <c r="J24" s="105">
        <v>46157</v>
      </c>
      <c r="K24" s="30">
        <v>1</v>
      </c>
    </row>
    <row r="25" spans="1:11" x14ac:dyDescent="0.35">
      <c r="A25" s="9" t="s">
        <v>16</v>
      </c>
      <c r="B25" t="s">
        <v>144</v>
      </c>
      <c r="C25">
        <v>36</v>
      </c>
      <c r="D25" t="e" cm="1">
        <f t="array" ref="D25">IFERROR(INDEX(Fund!D:D,MATCH("Closing Date ",Fund!D:D,0)+1),INDEX('Upper Tier Fund'!D:D,MATCH("Closing Date",'Upper Tier Fund'!D:D,0)+1))</f>
        <v>#N/A</v>
      </c>
      <c r="E25" t="s">
        <v>140</v>
      </c>
      <c r="F25" t="s">
        <v>139</v>
      </c>
      <c r="G25" s="1">
        <v>46203</v>
      </c>
      <c r="H25" s="1">
        <v>46249</v>
      </c>
      <c r="I25" t="s">
        <v>175</v>
      </c>
      <c r="J25" s="105">
        <v>46157</v>
      </c>
      <c r="K25" s="30">
        <v>1</v>
      </c>
    </row>
    <row r="26" spans="1:11" x14ac:dyDescent="0.35">
      <c r="A26" s="9" t="s">
        <v>16</v>
      </c>
      <c r="B26" t="s">
        <v>147</v>
      </c>
      <c r="C26">
        <v>38</v>
      </c>
      <c r="D26" t="e" cm="1">
        <f t="array" ref="D26">IFERROR(INDEX(Fund!D:D,MATCH("Closing Date ",Fund!D:D,0)+1),INDEX('Upper Tier Fund'!D:D,MATCH("Closing Date",'Upper Tier Fund'!D:D,0)+1))</f>
        <v>#N/A</v>
      </c>
      <c r="E26" t="s">
        <v>140</v>
      </c>
      <c r="F26" t="s">
        <v>141</v>
      </c>
      <c r="G26" s="1">
        <v>46295</v>
      </c>
      <c r="H26" s="1">
        <v>46341</v>
      </c>
      <c r="I26" t="s">
        <v>175</v>
      </c>
      <c r="J26" s="105">
        <v>46341</v>
      </c>
      <c r="K26" s="30">
        <v>1</v>
      </c>
    </row>
    <row r="27" spans="1:11" x14ac:dyDescent="0.35">
      <c r="A27" s="9" t="s">
        <v>16</v>
      </c>
      <c r="B27" t="s">
        <v>149</v>
      </c>
      <c r="C27">
        <v>44</v>
      </c>
      <c r="D27" t="e" cm="1">
        <f t="array" ref="D27">IFERROR(INDEX(Fund!D:D,MATCH("Closing Date ",Fund!D:D,0)+1),INDEX('Upper Tier Fund'!D:D,MATCH("Closing Date",'Upper Tier Fund'!D:D,0)+1))</f>
        <v>#N/A</v>
      </c>
      <c r="E27" t="s">
        <v>140</v>
      </c>
      <c r="F27" t="s">
        <v>139</v>
      </c>
      <c r="G27" s="1">
        <v>46203</v>
      </c>
      <c r="H27" s="1">
        <v>46249</v>
      </c>
      <c r="I27" t="s">
        <v>175</v>
      </c>
      <c r="J27" s="105">
        <v>46157</v>
      </c>
      <c r="K27" s="30">
        <v>1</v>
      </c>
    </row>
    <row r="28" spans="1:11" x14ac:dyDescent="0.35">
      <c r="A28" s="9" t="s">
        <v>16</v>
      </c>
      <c r="B28" t="s">
        <v>145</v>
      </c>
      <c r="C28">
        <v>53</v>
      </c>
      <c r="D28" t="e" cm="1">
        <f t="array" ref="D28">IFERROR(INDEX(Fund!D:D,MATCH("Closing Date ",Fund!D:D,0)+1),INDEX('Upper Tier Fund'!D:D,MATCH("Closing Date",'Upper Tier Fund'!D:D,0)+1))</f>
        <v>#N/A</v>
      </c>
      <c r="E28" t="s">
        <v>140</v>
      </c>
      <c r="F28" t="s">
        <v>139</v>
      </c>
      <c r="G28" s="1">
        <v>46203</v>
      </c>
      <c r="H28" s="1">
        <v>46249</v>
      </c>
      <c r="I28" t="s">
        <v>175</v>
      </c>
      <c r="J28" s="105">
        <v>46157</v>
      </c>
      <c r="K28" s="30">
        <v>1</v>
      </c>
    </row>
    <row r="29" spans="1:11" x14ac:dyDescent="0.35">
      <c r="A29" s="9" t="s">
        <v>150</v>
      </c>
      <c r="B29" t="s">
        <v>143</v>
      </c>
      <c r="C29">
        <v>4</v>
      </c>
      <c r="D29" t="e" cm="1">
        <f t="array" ref="D29">IFERROR(INDEX(Fund!D:D,MATCH("Closing Date ",Fund!D:D,0)+1),INDEX('Upper Tier Fund'!D:D,MATCH("Closing Date",'Upper Tier Fund'!D:D,0)+1))</f>
        <v>#N/A</v>
      </c>
      <c r="E29" t="s">
        <v>140</v>
      </c>
      <c r="F29" t="s">
        <v>141</v>
      </c>
      <c r="G29" s="1">
        <v>46387</v>
      </c>
      <c r="H29" s="1">
        <v>46461</v>
      </c>
      <c r="I29" t="s">
        <v>175</v>
      </c>
      <c r="J29" s="105">
        <v>46461</v>
      </c>
      <c r="K29" s="30">
        <v>2</v>
      </c>
    </row>
    <row r="30" spans="1:11" x14ac:dyDescent="0.35">
      <c r="A30" s="9" t="s">
        <v>150</v>
      </c>
      <c r="B30" t="s">
        <v>142</v>
      </c>
      <c r="C30">
        <v>17</v>
      </c>
      <c r="D30" t="e" cm="1">
        <f t="array" ref="D30">IFERROR(INDEX(Fund!D:D,MATCH("Closing Date ",Fund!D:D,0)+1),INDEX('Upper Tier Fund'!D:D,MATCH("Closing Date",'Upper Tier Fund'!D:D,0)+1))</f>
        <v>#N/A</v>
      </c>
      <c r="E30" t="s">
        <v>140</v>
      </c>
      <c r="F30" t="s">
        <v>141</v>
      </c>
      <c r="G30" s="1">
        <v>46387</v>
      </c>
      <c r="H30" s="1">
        <v>46461</v>
      </c>
      <c r="I30" t="s">
        <v>175</v>
      </c>
      <c r="J30" s="105">
        <v>46461</v>
      </c>
      <c r="K30" s="30">
        <v>2</v>
      </c>
    </row>
    <row r="31" spans="1:11" x14ac:dyDescent="0.35">
      <c r="A31" s="9" t="s">
        <v>153</v>
      </c>
      <c r="B31" t="s">
        <v>146</v>
      </c>
      <c r="C31">
        <v>2</v>
      </c>
      <c r="D31" t="e" cm="1">
        <f t="array" ref="D31">IFERROR(INDEX(Fund!D:D,MATCH("Closing Date ",Fund!D:D,0)+1),INDEX('Upper Tier Fund'!D:D,MATCH("Closing Date",'Upper Tier Fund'!D:D,0)+1))</f>
        <v>#N/A</v>
      </c>
      <c r="E31" t="s">
        <v>140</v>
      </c>
      <c r="F31" t="s">
        <v>139</v>
      </c>
      <c r="G31" s="1">
        <v>46203</v>
      </c>
      <c r="H31" s="1">
        <v>46249</v>
      </c>
      <c r="I31" t="s">
        <v>175</v>
      </c>
      <c r="J31" s="105">
        <v>46157</v>
      </c>
      <c r="K31" s="30">
        <v>3</v>
      </c>
    </row>
    <row r="32" spans="1:11" x14ac:dyDescent="0.35">
      <c r="A32" s="9" t="s">
        <v>153</v>
      </c>
      <c r="B32" t="s">
        <v>143</v>
      </c>
      <c r="C32">
        <v>4</v>
      </c>
      <c r="D32" t="e" cm="1">
        <f t="array" ref="D32">IFERROR(INDEX(Fund!D:D,MATCH("Closing Date ",Fund!D:D,0)+1),INDEX('Upper Tier Fund'!D:D,MATCH("Closing Date",'Upper Tier Fund'!D:D,0)+1))</f>
        <v>#N/A</v>
      </c>
      <c r="E32" t="s">
        <v>140</v>
      </c>
      <c r="F32" t="s">
        <v>141</v>
      </c>
      <c r="G32" s="1">
        <v>46387</v>
      </c>
      <c r="H32" s="1">
        <v>46461</v>
      </c>
      <c r="I32" t="s">
        <v>175</v>
      </c>
      <c r="J32" s="105">
        <v>46461</v>
      </c>
      <c r="K32" s="30">
        <v>3</v>
      </c>
    </row>
    <row r="33" spans="1:11" x14ac:dyDescent="0.35">
      <c r="A33" s="9" t="s">
        <v>153</v>
      </c>
      <c r="B33" t="s">
        <v>142</v>
      </c>
      <c r="C33">
        <v>17</v>
      </c>
      <c r="D33" t="e" cm="1">
        <f t="array" ref="D33">IFERROR(INDEX(Fund!D:D,MATCH("Closing Date ",Fund!D:D,0)+1),INDEX('Upper Tier Fund'!D:D,MATCH("Closing Date",'Upper Tier Fund'!D:D,0)+1))</f>
        <v>#N/A</v>
      </c>
      <c r="E33" t="s">
        <v>140</v>
      </c>
      <c r="F33" t="s">
        <v>141</v>
      </c>
      <c r="G33" s="1">
        <v>46387</v>
      </c>
      <c r="H33" s="1">
        <v>46461</v>
      </c>
      <c r="I33" t="s">
        <v>175</v>
      </c>
      <c r="J33" s="105">
        <v>46461</v>
      </c>
      <c r="K33" s="30">
        <v>3</v>
      </c>
    </row>
    <row r="34" spans="1:11" x14ac:dyDescent="0.35">
      <c r="A34" s="9" t="s">
        <v>153</v>
      </c>
      <c r="B34" t="s">
        <v>148</v>
      </c>
      <c r="C34">
        <v>33</v>
      </c>
      <c r="D34" t="e" cm="1">
        <f t="array" ref="D34">IFERROR(INDEX(Fund!D:D,MATCH("Closing Date ",Fund!D:D,0)+1),INDEX('Upper Tier Fund'!D:D,MATCH("Closing Date",'Upper Tier Fund'!D:D,0)+1))</f>
        <v>#N/A</v>
      </c>
      <c r="E34" t="s">
        <v>140</v>
      </c>
      <c r="F34" t="s">
        <v>139</v>
      </c>
      <c r="G34" s="1">
        <v>46203</v>
      </c>
      <c r="H34" s="1">
        <v>46249</v>
      </c>
      <c r="I34" t="s">
        <v>175</v>
      </c>
      <c r="J34" s="105">
        <v>46157</v>
      </c>
      <c r="K34" s="30">
        <v>3</v>
      </c>
    </row>
    <row r="35" spans="1:11" x14ac:dyDescent="0.35">
      <c r="A35" s="9" t="s">
        <v>153</v>
      </c>
      <c r="B35" t="s">
        <v>144</v>
      </c>
      <c r="C35">
        <v>36</v>
      </c>
      <c r="D35" t="e" cm="1">
        <f t="array" ref="D35">IFERROR(INDEX(Fund!D:D,MATCH("Closing Date ",Fund!D:D,0)+1),INDEX('Upper Tier Fund'!D:D,MATCH("Closing Date",'Upper Tier Fund'!D:D,0)+1))</f>
        <v>#N/A</v>
      </c>
      <c r="E35" t="s">
        <v>140</v>
      </c>
      <c r="F35" t="s">
        <v>139</v>
      </c>
      <c r="G35" s="1">
        <v>46203</v>
      </c>
      <c r="H35" s="1">
        <v>46249</v>
      </c>
      <c r="I35" t="s">
        <v>175</v>
      </c>
      <c r="J35" s="105">
        <v>46157</v>
      </c>
      <c r="K35" s="30">
        <v>3</v>
      </c>
    </row>
    <row r="36" spans="1:11" x14ac:dyDescent="0.35">
      <c r="A36" s="9" t="s">
        <v>153</v>
      </c>
      <c r="B36" t="s">
        <v>147</v>
      </c>
      <c r="C36">
        <v>38</v>
      </c>
      <c r="D36" t="e" cm="1">
        <f t="array" ref="D36">IFERROR(INDEX(Fund!D:D,MATCH("Closing Date ",Fund!D:D,0)+1),INDEX('Upper Tier Fund'!D:D,MATCH("Closing Date",'Upper Tier Fund'!D:D,0)+1))</f>
        <v>#N/A</v>
      </c>
      <c r="E36" t="s">
        <v>140</v>
      </c>
      <c r="F36" t="s">
        <v>139</v>
      </c>
      <c r="G36" s="1">
        <v>46203</v>
      </c>
      <c r="H36" s="1">
        <v>46249</v>
      </c>
      <c r="I36" t="s">
        <v>175</v>
      </c>
      <c r="J36" s="105">
        <v>46157</v>
      </c>
      <c r="K36" s="30">
        <v>3</v>
      </c>
    </row>
    <row r="37" spans="1:11" x14ac:dyDescent="0.35">
      <c r="A37" s="9" t="s">
        <v>153</v>
      </c>
      <c r="B37" t="s">
        <v>149</v>
      </c>
      <c r="C37">
        <v>44</v>
      </c>
      <c r="D37" t="e" cm="1">
        <f t="array" ref="D37">IFERROR(INDEX(Fund!D:D,MATCH("Closing Date ",Fund!D:D,0)+1),INDEX('Upper Tier Fund'!D:D,MATCH("Closing Date",'Upper Tier Fund'!D:D,0)+1))</f>
        <v>#N/A</v>
      </c>
      <c r="E37" t="s">
        <v>140</v>
      </c>
      <c r="F37" t="s">
        <v>139</v>
      </c>
      <c r="G37" s="1">
        <v>46203</v>
      </c>
      <c r="H37" s="1">
        <v>46249</v>
      </c>
      <c r="I37" t="s">
        <v>175</v>
      </c>
      <c r="J37" s="105">
        <v>46157</v>
      </c>
      <c r="K37" s="30">
        <v>3</v>
      </c>
    </row>
    <row r="38" spans="1:11" x14ac:dyDescent="0.35">
      <c r="A38" s="9" t="s">
        <v>153</v>
      </c>
      <c r="B38" t="s">
        <v>145</v>
      </c>
      <c r="C38">
        <v>53</v>
      </c>
      <c r="D38" t="e" cm="1">
        <f t="array" ref="D38">IFERROR(INDEX(Fund!D:D,MATCH("Closing Date ",Fund!D:D,0)+1),INDEX('Upper Tier Fund'!D:D,MATCH("Closing Date",'Upper Tier Fund'!D:D,0)+1))</f>
        <v>#N/A</v>
      </c>
      <c r="E38" t="s">
        <v>140</v>
      </c>
      <c r="F38" t="s">
        <v>139</v>
      </c>
      <c r="G38" s="1">
        <v>46203</v>
      </c>
      <c r="H38" s="1">
        <v>46249</v>
      </c>
      <c r="I38" t="s">
        <v>175</v>
      </c>
      <c r="J38" s="105">
        <v>46157</v>
      </c>
      <c r="K38" s="30">
        <v>3</v>
      </c>
    </row>
    <row r="39" spans="1:11" x14ac:dyDescent="0.35">
      <c r="A39" s="9" t="s">
        <v>17</v>
      </c>
      <c r="B39" t="s">
        <v>143</v>
      </c>
      <c r="C39">
        <v>4</v>
      </c>
      <c r="D39" t="e" cm="1">
        <f t="array" ref="D39">IFERROR(INDEX(Fund!D:D,MATCH("Closing Date ",Fund!D:D,0)+1),INDEX('Upper Tier Fund'!D:D,MATCH("Closing Date",'Upper Tier Fund'!D:D,0)+1))</f>
        <v>#N/A</v>
      </c>
      <c r="E39" t="s">
        <v>140</v>
      </c>
      <c r="F39" t="s">
        <v>141</v>
      </c>
      <c r="G39" s="1">
        <v>46387</v>
      </c>
      <c r="H39" s="1">
        <v>46461</v>
      </c>
      <c r="I39" t="s">
        <v>175</v>
      </c>
      <c r="J39" s="105">
        <v>46461</v>
      </c>
      <c r="K39" s="30">
        <v>4</v>
      </c>
    </row>
    <row r="40" spans="1:11" x14ac:dyDescent="0.35">
      <c r="A40" s="9" t="s">
        <v>17</v>
      </c>
      <c r="B40" t="s">
        <v>142</v>
      </c>
      <c r="C40">
        <v>17</v>
      </c>
      <c r="D40" t="e" cm="1">
        <f t="array" ref="D40">IFERROR(INDEX(Fund!D:D,MATCH("Closing Date ",Fund!D:D,0)+1),INDEX('Upper Tier Fund'!D:D,MATCH("Closing Date",'Upper Tier Fund'!D:D,0)+1))</f>
        <v>#N/A</v>
      </c>
      <c r="E40" t="s">
        <v>140</v>
      </c>
      <c r="F40" t="s">
        <v>141</v>
      </c>
      <c r="G40" s="1">
        <v>46387</v>
      </c>
      <c r="H40" s="1">
        <v>46461</v>
      </c>
      <c r="I40" t="s">
        <v>175</v>
      </c>
      <c r="J40" s="105">
        <v>46461</v>
      </c>
      <c r="K40" s="30">
        <v>4</v>
      </c>
    </row>
    <row r="41" spans="1:11" x14ac:dyDescent="0.35">
      <c r="A41" s="9" t="s">
        <v>15</v>
      </c>
      <c r="B41" t="s">
        <v>143</v>
      </c>
      <c r="C41">
        <v>4</v>
      </c>
      <c r="D41" t="e" cm="1">
        <f t="array" ref="D41">IFERROR(INDEX(Fund!D:D,MATCH("Closing Date ",Fund!D:D,0)+1),INDEX('Upper Tier Fund'!D:D,MATCH("Closing Date",'Upper Tier Fund'!D:D,0)+1))</f>
        <v>#N/A</v>
      </c>
      <c r="E41" t="s">
        <v>140</v>
      </c>
      <c r="F41" t="s">
        <v>141</v>
      </c>
      <c r="G41" s="1">
        <v>46387</v>
      </c>
      <c r="H41" s="1">
        <v>46461</v>
      </c>
      <c r="I41" t="s">
        <v>175</v>
      </c>
      <c r="J41" s="105">
        <v>46461</v>
      </c>
      <c r="K41" s="30">
        <v>5</v>
      </c>
    </row>
    <row r="42" spans="1:11" x14ac:dyDescent="0.35">
      <c r="A42" s="9" t="s">
        <v>15</v>
      </c>
      <c r="B42" t="s">
        <v>142</v>
      </c>
      <c r="C42">
        <v>17</v>
      </c>
      <c r="D42" t="e" cm="1">
        <f t="array" ref="D42">IFERROR(INDEX(Fund!D:D,MATCH("Closing Date ",Fund!D:D,0)+1),INDEX('Upper Tier Fund'!D:D,MATCH("Closing Date",'Upper Tier Fund'!D:D,0)+1))</f>
        <v>#N/A</v>
      </c>
      <c r="E42" t="s">
        <v>140</v>
      </c>
      <c r="F42" t="s">
        <v>141</v>
      </c>
      <c r="G42" s="1">
        <v>46387</v>
      </c>
      <c r="H42" s="1">
        <v>46461</v>
      </c>
      <c r="I42" t="s">
        <v>175</v>
      </c>
      <c r="J42" s="105">
        <v>46461</v>
      </c>
      <c r="K42" s="30">
        <v>5</v>
      </c>
    </row>
    <row r="43" spans="1:11" x14ac:dyDescent="0.35">
      <c r="A43" s="9" t="s">
        <v>154</v>
      </c>
      <c r="B43" t="s">
        <v>146</v>
      </c>
      <c r="C43">
        <v>2</v>
      </c>
      <c r="D43" t="e" cm="1">
        <f t="array" ref="D43">IFERROR(INDEX(Fund!D:D,MATCH("Closing Date ",Fund!D:D,0)+1),INDEX('Upper Tier Fund'!D:D,MATCH("Closing Date",'Upper Tier Fund'!D:D,0)+1))</f>
        <v>#N/A</v>
      </c>
      <c r="E43" t="s">
        <v>140</v>
      </c>
      <c r="F43" t="s">
        <v>139</v>
      </c>
      <c r="G43" s="1">
        <v>46203</v>
      </c>
      <c r="H43" s="1">
        <v>46249</v>
      </c>
      <c r="I43" t="s">
        <v>175</v>
      </c>
      <c r="J43" s="105">
        <v>46157</v>
      </c>
      <c r="K43" s="30">
        <v>6</v>
      </c>
    </row>
    <row r="44" spans="1:11" x14ac:dyDescent="0.35">
      <c r="A44" s="9" t="s">
        <v>154</v>
      </c>
      <c r="B44" t="s">
        <v>143</v>
      </c>
      <c r="C44">
        <v>4</v>
      </c>
      <c r="D44" t="e" cm="1">
        <f t="array" ref="D44">IFERROR(INDEX(Fund!D:D,MATCH("Closing Date ",Fund!D:D,0)+1),INDEX('Upper Tier Fund'!D:D,MATCH("Closing Date",'Upper Tier Fund'!D:D,0)+1))</f>
        <v>#N/A</v>
      </c>
      <c r="E44" t="s">
        <v>140</v>
      </c>
      <c r="F44" t="s">
        <v>141</v>
      </c>
      <c r="G44" s="1">
        <v>46387</v>
      </c>
      <c r="H44" s="1">
        <v>46461</v>
      </c>
      <c r="I44" t="s">
        <v>175</v>
      </c>
      <c r="J44" s="105">
        <v>46461</v>
      </c>
      <c r="K44" s="30">
        <v>6</v>
      </c>
    </row>
    <row r="45" spans="1:11" x14ac:dyDescent="0.35">
      <c r="A45" s="9" t="s">
        <v>154</v>
      </c>
      <c r="B45" t="s">
        <v>142</v>
      </c>
      <c r="C45">
        <v>17</v>
      </c>
      <c r="D45" t="e" cm="1">
        <f t="array" ref="D45">IFERROR(INDEX(Fund!D:D,MATCH("Closing Date ",Fund!D:D,0)+1),INDEX('Upper Tier Fund'!D:D,MATCH("Closing Date",'Upper Tier Fund'!D:D,0)+1))</f>
        <v>#N/A</v>
      </c>
      <c r="E45" t="s">
        <v>140</v>
      </c>
      <c r="F45" t="s">
        <v>141</v>
      </c>
      <c r="G45" s="1">
        <v>46387</v>
      </c>
      <c r="H45" s="1">
        <v>46461</v>
      </c>
      <c r="I45" t="s">
        <v>175</v>
      </c>
      <c r="J45" s="105">
        <v>46461</v>
      </c>
      <c r="K45" s="30">
        <v>6</v>
      </c>
    </row>
    <row r="46" spans="1:11" x14ac:dyDescent="0.35">
      <c r="A46" s="9" t="s">
        <v>154</v>
      </c>
      <c r="B46" t="s">
        <v>148</v>
      </c>
      <c r="C46">
        <v>33</v>
      </c>
      <c r="D46" t="e" cm="1">
        <f t="array" ref="D46">IFERROR(INDEX(Fund!D:D,MATCH("Closing Date ",Fund!D:D,0)+1),INDEX('Upper Tier Fund'!D:D,MATCH("Closing Date",'Upper Tier Fund'!D:D,0)+1))</f>
        <v>#N/A</v>
      </c>
      <c r="E46" t="s">
        <v>140</v>
      </c>
      <c r="F46" t="s">
        <v>139</v>
      </c>
      <c r="G46" s="1">
        <v>46203</v>
      </c>
      <c r="H46" s="1">
        <v>46249</v>
      </c>
      <c r="I46" t="s">
        <v>175</v>
      </c>
      <c r="J46" s="105">
        <v>46157</v>
      </c>
      <c r="K46" s="30">
        <v>6</v>
      </c>
    </row>
    <row r="47" spans="1:11" x14ac:dyDescent="0.35">
      <c r="A47" s="9" t="s">
        <v>154</v>
      </c>
      <c r="B47" t="s">
        <v>144</v>
      </c>
      <c r="C47">
        <v>36</v>
      </c>
      <c r="D47" t="e" cm="1">
        <f t="array" ref="D47">IFERROR(INDEX(Fund!D:D,MATCH("Closing Date ",Fund!D:D,0)+1),INDEX('Upper Tier Fund'!D:D,MATCH("Closing Date",'Upper Tier Fund'!D:D,0)+1))</f>
        <v>#N/A</v>
      </c>
      <c r="E47" t="s">
        <v>140</v>
      </c>
      <c r="F47" t="s">
        <v>139</v>
      </c>
      <c r="G47" s="1">
        <v>46203</v>
      </c>
      <c r="H47" s="1">
        <v>46249</v>
      </c>
      <c r="I47" t="s">
        <v>175</v>
      </c>
      <c r="J47" s="105">
        <v>46157</v>
      </c>
      <c r="K47" s="30">
        <v>6</v>
      </c>
    </row>
    <row r="48" spans="1:11" x14ac:dyDescent="0.35">
      <c r="A48" s="9" t="s">
        <v>154</v>
      </c>
      <c r="B48" t="s">
        <v>147</v>
      </c>
      <c r="C48">
        <v>38</v>
      </c>
      <c r="D48" t="e" cm="1">
        <f t="array" ref="D48">IFERROR(INDEX(Fund!D:D,MATCH("Closing Date ",Fund!D:D,0)+1),INDEX('Upper Tier Fund'!D:D,MATCH("Closing Date",'Upper Tier Fund'!D:D,0)+1))</f>
        <v>#N/A</v>
      </c>
      <c r="E48" t="s">
        <v>140</v>
      </c>
      <c r="F48" t="s">
        <v>141</v>
      </c>
      <c r="G48" s="1">
        <v>46295</v>
      </c>
      <c r="H48" s="1">
        <v>46341</v>
      </c>
      <c r="I48" t="s">
        <v>175</v>
      </c>
      <c r="J48" s="105">
        <v>46341</v>
      </c>
      <c r="K48" s="30">
        <v>6</v>
      </c>
    </row>
    <row r="49" spans="1:11" x14ac:dyDescent="0.35">
      <c r="A49" s="9" t="s">
        <v>154</v>
      </c>
      <c r="B49" t="s">
        <v>149</v>
      </c>
      <c r="C49">
        <v>44</v>
      </c>
      <c r="D49" t="e" cm="1">
        <f t="array" ref="D49">IFERROR(INDEX(Fund!D:D,MATCH("Closing Date ",Fund!D:D,0)+1),INDEX('Upper Tier Fund'!D:D,MATCH("Closing Date",'Upper Tier Fund'!D:D,0)+1))</f>
        <v>#N/A</v>
      </c>
      <c r="E49" t="s">
        <v>140</v>
      </c>
      <c r="F49" t="s">
        <v>139</v>
      </c>
      <c r="G49" s="1">
        <v>46203</v>
      </c>
      <c r="H49" s="1">
        <v>46249</v>
      </c>
      <c r="I49" t="s">
        <v>175</v>
      </c>
      <c r="J49" s="105">
        <v>46157</v>
      </c>
      <c r="K49" s="30">
        <v>6</v>
      </c>
    </row>
    <row r="50" spans="1:11" x14ac:dyDescent="0.35">
      <c r="A50" s="9" t="s">
        <v>154</v>
      </c>
      <c r="B50" t="s">
        <v>145</v>
      </c>
      <c r="C50">
        <v>53</v>
      </c>
      <c r="D50" t="e" cm="1">
        <f t="array" ref="D50">IFERROR(INDEX(Fund!D:D,MATCH("Closing Date ",Fund!D:D,0)+1),INDEX('Upper Tier Fund'!D:D,MATCH("Closing Date",'Upper Tier Fund'!D:D,0)+1))</f>
        <v>#N/A</v>
      </c>
      <c r="E50" t="s">
        <v>140</v>
      </c>
      <c r="F50" t="s">
        <v>139</v>
      </c>
      <c r="G50" s="1">
        <v>46203</v>
      </c>
      <c r="H50" s="1">
        <v>46249</v>
      </c>
      <c r="I50" t="s">
        <v>175</v>
      </c>
      <c r="J50" s="105">
        <v>46157</v>
      </c>
      <c r="K50" s="30">
        <v>6</v>
      </c>
    </row>
    <row r="51" spans="1:11" x14ac:dyDescent="0.35">
      <c r="A51" s="9" t="s">
        <v>109</v>
      </c>
      <c r="B51" t="s">
        <v>146</v>
      </c>
      <c r="C51">
        <v>2</v>
      </c>
      <c r="D51" t="e" cm="1">
        <f t="array" ref="D51">IFERROR(INDEX(Fund!D:D,MATCH("Closing Date ",Fund!D:D,0)+1),INDEX('Upper Tier Fund'!D:D,MATCH("Closing Date",'Upper Tier Fund'!D:D,0)+1))</f>
        <v>#N/A</v>
      </c>
      <c r="E51" t="s">
        <v>140</v>
      </c>
      <c r="F51" t="s">
        <v>139</v>
      </c>
      <c r="G51" s="1">
        <v>46203</v>
      </c>
      <c r="H51" s="1">
        <v>46249</v>
      </c>
      <c r="I51" t="s">
        <v>175</v>
      </c>
      <c r="J51" s="105">
        <v>46157</v>
      </c>
      <c r="K51" s="30">
        <v>7</v>
      </c>
    </row>
    <row r="52" spans="1:11" x14ac:dyDescent="0.35">
      <c r="A52" s="9" t="s">
        <v>109</v>
      </c>
      <c r="B52" t="s">
        <v>143</v>
      </c>
      <c r="C52">
        <v>4</v>
      </c>
      <c r="D52" t="e" cm="1">
        <f t="array" ref="D52">IFERROR(INDEX(Fund!D:D,MATCH("Closing Date ",Fund!D:D,0)+1),INDEX('Upper Tier Fund'!D:D,MATCH("Closing Date",'Upper Tier Fund'!D:D,0)+1))</f>
        <v>#N/A</v>
      </c>
      <c r="E52" t="s">
        <v>140</v>
      </c>
      <c r="F52" t="s">
        <v>141</v>
      </c>
      <c r="G52" s="1">
        <v>46387</v>
      </c>
      <c r="H52" s="1">
        <v>46461</v>
      </c>
      <c r="I52" t="s">
        <v>175</v>
      </c>
      <c r="J52" s="105">
        <v>46461</v>
      </c>
      <c r="K52" s="30">
        <v>7</v>
      </c>
    </row>
    <row r="53" spans="1:11" x14ac:dyDescent="0.35">
      <c r="A53" s="101" t="s">
        <v>109</v>
      </c>
      <c r="B53" s="102" t="s">
        <v>142</v>
      </c>
      <c r="C53" s="102">
        <v>17</v>
      </c>
      <c r="D53" t="e" cm="1">
        <f t="array" ref="D53">IFERROR(INDEX(Fund!D:D,MATCH("Closing Date ",Fund!D:D,0)+1),INDEX('Upper Tier Fund'!D:D,MATCH("Closing Date",'Upper Tier Fund'!D:D,0)+1))</f>
        <v>#N/A</v>
      </c>
      <c r="E53" s="102" t="s">
        <v>140</v>
      </c>
      <c r="F53" s="102" t="s">
        <v>141</v>
      </c>
      <c r="G53" s="107">
        <v>46387</v>
      </c>
      <c r="H53" s="107">
        <v>46461</v>
      </c>
      <c r="I53" t="s">
        <v>175</v>
      </c>
      <c r="J53" s="106">
        <v>46461</v>
      </c>
      <c r="K53" s="31">
        <v>7</v>
      </c>
    </row>
  </sheetData>
  <mergeCells count="1">
    <mergeCell ref="H1:I1"/>
  </mergeCells>
  <conditionalFormatting sqref="C2:C3">
    <cfRule type="expression" dxfId="0" priority="1">
      <formula>$G2="Delete row"</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A280-D9BE-476D-B79E-204A71DAABEA}">
  <dimension ref="A1:G4"/>
  <sheetViews>
    <sheetView zoomScale="85" zoomScaleNormal="85" workbookViewId="0">
      <selection activeCell="E4" sqref="E4"/>
    </sheetView>
  </sheetViews>
  <sheetFormatPr defaultRowHeight="14.5" x14ac:dyDescent="0.35"/>
  <cols>
    <col min="2" max="2" width="12.26953125" bestFit="1" customWidth="1"/>
    <col min="3" max="3" width="29.81640625" customWidth="1"/>
    <col min="4" max="4" width="42.08984375" customWidth="1"/>
    <col min="5" max="5" width="29" style="1" customWidth="1"/>
    <col min="6" max="6" width="20.453125" customWidth="1"/>
    <col min="7" max="7" width="34.36328125" customWidth="1"/>
  </cols>
  <sheetData>
    <row r="1" spans="1:7" ht="193.5" customHeight="1" x14ac:dyDescent="0.35">
      <c r="A1" s="136" t="s">
        <v>130</v>
      </c>
      <c r="B1" s="137"/>
      <c r="C1" s="137"/>
      <c r="D1" s="137"/>
      <c r="E1" s="137"/>
      <c r="F1" s="137"/>
      <c r="G1" s="89" t="s">
        <v>19</v>
      </c>
    </row>
    <row r="2" spans="1:7" s="12" customFormat="1" x14ac:dyDescent="0.35">
      <c r="A2" s="96" t="s">
        <v>1</v>
      </c>
      <c r="B2" s="96" t="s">
        <v>48</v>
      </c>
      <c r="C2" s="96" t="s">
        <v>49</v>
      </c>
      <c r="D2" s="96" t="s">
        <v>50</v>
      </c>
      <c r="E2" s="97" t="s">
        <v>51</v>
      </c>
      <c r="F2" s="99" t="s">
        <v>58</v>
      </c>
    </row>
    <row r="3" spans="1:7" x14ac:dyDescent="0.35">
      <c r="A3" t="str">
        <f>'Fund Setup Instructions'!B$3</f>
        <v>sample1</v>
      </c>
      <c r="B3" t="s">
        <v>59</v>
      </c>
      <c r="C3" t="s">
        <v>60</v>
      </c>
      <c r="D3" t="s">
        <v>52</v>
      </c>
      <c r="E3" s="1" t="e" cm="1">
        <f t="array" ref="E3">IFERROR(INDEX(Fund!D:D,MATCH("Closing Date ",Fund!D:D,0)+1),INDEX('Upper Tier Fund'!D:D,MATCH("Closing Date",'Upper Tier Fund'!D:D,0)+1))</f>
        <v>#N/A</v>
      </c>
      <c r="F3" s="1">
        <f ca="1">TODAY()</f>
        <v>46232</v>
      </c>
    </row>
    <row r="4" spans="1:7" ht="31.5" customHeight="1" x14ac:dyDescent="0.35">
      <c r="A4" s="33" t="str">
        <f>'Fund Setup Instructions'!B$3</f>
        <v>sample1</v>
      </c>
      <c r="B4" s="33" t="s">
        <v>53</v>
      </c>
      <c r="C4" s="33" t="s">
        <v>54</v>
      </c>
      <c r="D4" s="86" t="s">
        <v>52</v>
      </c>
      <c r="E4" s="34" t="e" cm="1">
        <f t="array" ref="E4">INDEX(Fund!E:E,MATCH("Amort Start Date",Fund!E:E,0)+1)</f>
        <v>#N/A</v>
      </c>
      <c r="F4" s="34">
        <f ca="1">TODAY()</f>
        <v>46232</v>
      </c>
    </row>
  </sheetData>
  <mergeCells count="1">
    <mergeCell ref="A1:F1"/>
  </mergeCells>
  <conditionalFormatting sqref="A3:F4">
    <cfRule type="expression" dxfId="9" priority="1">
      <formula>ISERROR($E3)</formula>
    </cfRule>
    <cfRule type="expression" dxfId="8" priority="2">
      <formula>OR($E3=0, $E3="", ISNA($E3), $E3="NA")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565E736-26A8-4818-96AE-4F5EC60D4A7B}">
          <x14:formula1>
            <xm:f>'Data Validation'!$C$2:$C$3</xm:f>
          </x14:formula1>
          <xm:sqref>D4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25DB-4B79-477F-83E2-2FEFE36358D1}">
  <sheetPr>
    <tabColor theme="3"/>
  </sheetPr>
  <dimension ref="A1:C17"/>
  <sheetViews>
    <sheetView zoomScale="85" zoomScaleNormal="85" workbookViewId="0">
      <selection activeCell="K15" sqref="K15"/>
    </sheetView>
  </sheetViews>
  <sheetFormatPr defaultRowHeight="14.5" x14ac:dyDescent="0.35"/>
  <cols>
    <col min="1" max="1" width="54.54296875" customWidth="1"/>
    <col min="2" max="2" width="71.08984375" customWidth="1"/>
    <col min="3" max="3" width="23.1796875" customWidth="1"/>
  </cols>
  <sheetData>
    <row r="1" spans="1:3" ht="18.5" x14ac:dyDescent="0.45">
      <c r="A1" s="18" t="s">
        <v>171</v>
      </c>
    </row>
    <row r="2" spans="1:3" ht="18.5" x14ac:dyDescent="0.45">
      <c r="A2" s="18" t="s">
        <v>155</v>
      </c>
    </row>
    <row r="3" spans="1:3" ht="18.5" x14ac:dyDescent="0.35">
      <c r="A3" s="13" t="s">
        <v>61</v>
      </c>
    </row>
    <row r="4" spans="1:3" ht="15.5" x14ac:dyDescent="0.35">
      <c r="A4" s="14" t="s">
        <v>62</v>
      </c>
    </row>
    <row r="5" spans="1:3" ht="15.5" x14ac:dyDescent="0.35">
      <c r="A5" s="14" t="s">
        <v>63</v>
      </c>
    </row>
    <row r="6" spans="1:3" ht="15.5" x14ac:dyDescent="0.35">
      <c r="A6" s="14" t="s">
        <v>64</v>
      </c>
    </row>
    <row r="7" spans="1:3" ht="15.5" x14ac:dyDescent="0.35">
      <c r="A7" s="14" t="s">
        <v>75</v>
      </c>
    </row>
    <row r="8" spans="1:3" ht="16" thickBot="1" x14ac:dyDescent="0.4">
      <c r="A8" s="15" t="s">
        <v>65</v>
      </c>
    </row>
    <row r="9" spans="1:3" ht="16" thickBot="1" x14ac:dyDescent="0.4">
      <c r="A9" s="16" t="s">
        <v>18</v>
      </c>
      <c r="B9" s="19" t="s">
        <v>61</v>
      </c>
      <c r="C9" s="27" t="s">
        <v>76</v>
      </c>
    </row>
    <row r="10" spans="1:3" ht="54.5" customHeight="1" thickBot="1" x14ac:dyDescent="0.4">
      <c r="A10" s="17" t="s">
        <v>133</v>
      </c>
      <c r="B10" s="20" t="s">
        <v>66</v>
      </c>
      <c r="C10" s="26" t="s">
        <v>16</v>
      </c>
    </row>
    <row r="11" spans="1:3" ht="47.5" customHeight="1" thickBot="1" x14ac:dyDescent="0.4">
      <c r="A11" s="21" t="s">
        <v>67</v>
      </c>
      <c r="B11" s="22" t="s">
        <v>68</v>
      </c>
      <c r="C11" s="26" t="s">
        <v>77</v>
      </c>
    </row>
    <row r="12" spans="1:3" ht="31" customHeight="1" thickBot="1" x14ac:dyDescent="0.4">
      <c r="A12" s="21" t="s">
        <v>69</v>
      </c>
      <c r="B12" s="23" t="s">
        <v>74</v>
      </c>
      <c r="C12" s="28" t="s">
        <v>78</v>
      </c>
    </row>
    <row r="13" spans="1:3" ht="19" customHeight="1" thickBot="1" x14ac:dyDescent="0.4">
      <c r="A13" s="24" t="s">
        <v>70</v>
      </c>
      <c r="B13" s="25" t="s">
        <v>68</v>
      </c>
      <c r="C13" s="26" t="s">
        <v>17</v>
      </c>
    </row>
    <row r="14" spans="1:3" ht="26" customHeight="1" thickBot="1" x14ac:dyDescent="0.4">
      <c r="A14" s="17" t="s">
        <v>14</v>
      </c>
      <c r="B14" s="20" t="s">
        <v>68</v>
      </c>
      <c r="C14" s="26" t="s">
        <v>15</v>
      </c>
    </row>
    <row r="15" spans="1:3" ht="93" customHeight="1" thickBot="1" x14ac:dyDescent="0.4">
      <c r="A15" s="17" t="s">
        <v>71</v>
      </c>
      <c r="B15" s="20" t="s">
        <v>68</v>
      </c>
      <c r="C15" s="43" t="s">
        <v>81</v>
      </c>
    </row>
    <row r="16" spans="1:3" ht="93" customHeight="1" thickBot="1" x14ac:dyDescent="0.4">
      <c r="A16" s="17" t="s">
        <v>93</v>
      </c>
      <c r="B16" s="20" t="s">
        <v>108</v>
      </c>
      <c r="C16" s="44" t="s">
        <v>109</v>
      </c>
    </row>
    <row r="17" spans="1:3" ht="24.5" customHeight="1" thickBot="1" x14ac:dyDescent="0.4">
      <c r="A17" s="17" t="s">
        <v>72</v>
      </c>
      <c r="B17" s="20" t="s">
        <v>73</v>
      </c>
      <c r="C17" s="26" t="s">
        <v>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C4F4-E7C4-40CD-975B-A58A8E7AE265}">
  <dimension ref="A1:K41"/>
  <sheetViews>
    <sheetView zoomScale="85" zoomScaleNormal="85" workbookViewId="0">
      <selection activeCell="G15" sqref="G15"/>
    </sheetView>
  </sheetViews>
  <sheetFormatPr defaultColWidth="8.7265625" defaultRowHeight="14.5" x14ac:dyDescent="0.35"/>
  <cols>
    <col min="1" max="1" width="23.26953125" bestFit="1" customWidth="1"/>
    <col min="2" max="2" width="24.08984375" bestFit="1" customWidth="1"/>
    <col min="3" max="3" width="63.81640625" customWidth="1"/>
    <col min="4" max="5" width="25.81640625" customWidth="1"/>
    <col min="6" max="6" width="15.1796875" customWidth="1"/>
    <col min="7" max="7" width="32.453125" style="1" customWidth="1"/>
    <col min="8" max="8" width="36.453125" style="1" customWidth="1"/>
    <col min="9" max="9" width="9.08984375" customWidth="1"/>
    <col min="10" max="10" width="26" style="1" customWidth="1"/>
    <col min="11" max="11" width="42.1796875" customWidth="1"/>
  </cols>
  <sheetData>
    <row r="1" spans="1:11" ht="198.5" customHeight="1" x14ac:dyDescent="0.35">
      <c r="A1" s="125" t="s">
        <v>167</v>
      </c>
      <c r="B1" s="125"/>
      <c r="C1" s="125"/>
      <c r="D1" s="125"/>
      <c r="E1" s="125"/>
      <c r="F1" s="125"/>
      <c r="G1" s="125"/>
      <c r="H1" s="125"/>
      <c r="I1" s="125"/>
      <c r="J1" s="125"/>
      <c r="K1" s="89" t="s">
        <v>19</v>
      </c>
    </row>
    <row r="2" spans="1:11" x14ac:dyDescent="0.35">
      <c r="A2" s="113" t="s">
        <v>156</v>
      </c>
      <c r="B2" s="111" t="s">
        <v>1</v>
      </c>
      <c r="C2" s="111" t="s">
        <v>134</v>
      </c>
      <c r="D2" s="111" t="s">
        <v>33</v>
      </c>
      <c r="E2" s="111" t="s">
        <v>135</v>
      </c>
      <c r="F2" s="111" t="s">
        <v>136</v>
      </c>
      <c r="G2" s="112" t="s">
        <v>137</v>
      </c>
      <c r="H2" s="112" t="s">
        <v>138</v>
      </c>
      <c r="I2" s="111" t="s">
        <v>151</v>
      </c>
      <c r="J2" s="112" t="s">
        <v>152</v>
      </c>
    </row>
    <row r="3" spans="1:11" x14ac:dyDescent="0.35">
      <c r="A3" s="114" t="s">
        <v>99</v>
      </c>
      <c r="B3" s="41" t="str">
        <f>'Fund Setup Instructions'!B$3</f>
        <v>sample1</v>
      </c>
      <c r="C3" s="41" cm="1">
        <f t="array" ref="C3:J10">_xlfn._xlws.FILTER('Data Validation'!C21:J53,'Data Validation'!K21:K53=_xlfn.XLOOKUP(A3,'Data Validation'!E2:E18,'Data Validation'!F2:F18),"No Collection Rules")</f>
        <v>2</v>
      </c>
      <c r="D3" s="109" t="e">
        <v>#N/A</v>
      </c>
      <c r="E3" s="109" t="str">
        <v>NULL</v>
      </c>
      <c r="F3" s="41" t="str">
        <v>Quarterly</v>
      </c>
      <c r="G3" s="109">
        <v>46203</v>
      </c>
      <c r="H3" s="109">
        <v>46249</v>
      </c>
      <c r="I3" s="41" t="str">
        <v>boolfalse</v>
      </c>
      <c r="J3" s="109">
        <v>46157</v>
      </c>
    </row>
    <row r="4" spans="1:11" x14ac:dyDescent="0.35">
      <c r="A4" s="114"/>
      <c r="B4" s="30" t="str">
        <f>'Fund Setup Instructions'!B$3</f>
        <v>sample1</v>
      </c>
      <c r="C4" s="30">
        <v>4</v>
      </c>
      <c r="D4" s="110" t="e">
        <v>#N/A</v>
      </c>
      <c r="E4" s="110" t="str">
        <v>NULL</v>
      </c>
      <c r="F4" s="30" t="str">
        <v>Annually</v>
      </c>
      <c r="G4" s="110">
        <v>46387</v>
      </c>
      <c r="H4" s="110">
        <v>46461</v>
      </c>
      <c r="I4" s="30" t="str">
        <v>boolfalse</v>
      </c>
      <c r="J4" s="110">
        <v>46461</v>
      </c>
    </row>
    <row r="5" spans="1:11" x14ac:dyDescent="0.35">
      <c r="A5" s="114"/>
      <c r="B5" s="30" t="str">
        <f>'Fund Setup Instructions'!B$3</f>
        <v>sample1</v>
      </c>
      <c r="C5" s="30">
        <v>17</v>
      </c>
      <c r="D5" s="110" t="e">
        <v>#N/A</v>
      </c>
      <c r="E5" s="110" t="str">
        <v>NULL</v>
      </c>
      <c r="F5" s="30" t="str">
        <v>Annually</v>
      </c>
      <c r="G5" s="110">
        <v>46387</v>
      </c>
      <c r="H5" s="110">
        <v>46461</v>
      </c>
      <c r="I5" s="30" t="str">
        <v>boolfalse</v>
      </c>
      <c r="J5" s="110">
        <v>46461</v>
      </c>
    </row>
    <row r="6" spans="1:11" x14ac:dyDescent="0.35">
      <c r="A6" s="114"/>
      <c r="B6" s="30" t="str">
        <f>'Fund Setup Instructions'!B$3</f>
        <v>sample1</v>
      </c>
      <c r="C6" s="30">
        <v>33</v>
      </c>
      <c r="D6" s="110" t="e">
        <v>#N/A</v>
      </c>
      <c r="E6" s="110" t="str">
        <v>NULL</v>
      </c>
      <c r="F6" s="30" t="str">
        <v>Quarterly</v>
      </c>
      <c r="G6" s="110">
        <v>46203</v>
      </c>
      <c r="H6" s="110">
        <v>46249</v>
      </c>
      <c r="I6" s="30" t="str">
        <v>boolfalse</v>
      </c>
      <c r="J6" s="110">
        <v>46157</v>
      </c>
    </row>
    <row r="7" spans="1:11" x14ac:dyDescent="0.35">
      <c r="A7" s="114"/>
      <c r="B7" s="30" t="str">
        <f>'Fund Setup Instructions'!B$3</f>
        <v>sample1</v>
      </c>
      <c r="C7" s="30">
        <v>36</v>
      </c>
      <c r="D7" s="110" t="e">
        <v>#N/A</v>
      </c>
      <c r="E7" s="110" t="str">
        <v>NULL</v>
      </c>
      <c r="F7" s="30" t="str">
        <v>Quarterly</v>
      </c>
      <c r="G7" s="110">
        <v>46203</v>
      </c>
      <c r="H7" s="110">
        <v>46249</v>
      </c>
      <c r="I7" s="30" t="str">
        <v>boolfalse</v>
      </c>
      <c r="J7" s="110">
        <v>46157</v>
      </c>
    </row>
    <row r="8" spans="1:11" x14ac:dyDescent="0.35">
      <c r="A8" s="114"/>
      <c r="B8" s="30" t="str">
        <f>'Fund Setup Instructions'!B$3</f>
        <v>sample1</v>
      </c>
      <c r="C8" s="30">
        <v>38</v>
      </c>
      <c r="D8" s="110" t="e">
        <v>#N/A</v>
      </c>
      <c r="E8" s="110" t="str">
        <v>NULL</v>
      </c>
      <c r="F8" s="30" t="str">
        <v>Annually</v>
      </c>
      <c r="G8" s="110">
        <v>46295</v>
      </c>
      <c r="H8" s="110">
        <v>46341</v>
      </c>
      <c r="I8" s="30" t="str">
        <v>boolfalse</v>
      </c>
      <c r="J8" s="110">
        <v>46341</v>
      </c>
    </row>
    <row r="9" spans="1:11" x14ac:dyDescent="0.35">
      <c r="A9" s="114"/>
      <c r="B9" s="30" t="str">
        <f>'Fund Setup Instructions'!B$3</f>
        <v>sample1</v>
      </c>
      <c r="C9" s="30">
        <v>44</v>
      </c>
      <c r="D9" s="30" t="e">
        <v>#N/A</v>
      </c>
      <c r="E9" s="110" t="str">
        <v>NULL</v>
      </c>
      <c r="F9" s="30" t="str">
        <v>Quarterly</v>
      </c>
      <c r="G9" s="110">
        <v>46203</v>
      </c>
      <c r="H9" s="110">
        <v>46249</v>
      </c>
      <c r="I9" s="30" t="str">
        <v>boolfalse</v>
      </c>
      <c r="J9" s="110">
        <v>46157</v>
      </c>
    </row>
    <row r="10" spans="1:11" x14ac:dyDescent="0.35">
      <c r="A10" s="114"/>
      <c r="B10" s="30" t="str">
        <f>'Fund Setup Instructions'!B$3</f>
        <v>sample1</v>
      </c>
      <c r="C10" s="30">
        <v>53</v>
      </c>
      <c r="D10" s="30" t="e">
        <v>#N/A</v>
      </c>
      <c r="E10" s="110" t="str">
        <v>NULL</v>
      </c>
      <c r="F10" s="30" t="str">
        <v>Quarterly</v>
      </c>
      <c r="G10" s="110">
        <v>46203</v>
      </c>
      <c r="H10" s="110">
        <v>46249</v>
      </c>
      <c r="I10" s="30" t="str">
        <v>boolfalse</v>
      </c>
      <c r="J10" s="110">
        <v>46157</v>
      </c>
    </row>
    <row r="12" spans="1:11" x14ac:dyDescent="0.35">
      <c r="D12" s="100"/>
    </row>
    <row r="13" spans="1:11" x14ac:dyDescent="0.35">
      <c r="D13" s="100"/>
    </row>
    <row r="15" spans="1:11" x14ac:dyDescent="0.35">
      <c r="D15" s="100"/>
    </row>
    <row r="16" spans="1:11" x14ac:dyDescent="0.35">
      <c r="D16" s="100"/>
    </row>
    <row r="17" spans="4:4" x14ac:dyDescent="0.35">
      <c r="D17" s="100"/>
    </row>
    <row r="18" spans="4:4" x14ac:dyDescent="0.35">
      <c r="D18" s="100"/>
    </row>
    <row r="19" spans="4:4" x14ac:dyDescent="0.35">
      <c r="D19" s="100"/>
    </row>
    <row r="20" spans="4:4" x14ac:dyDescent="0.35">
      <c r="D20" s="100"/>
    </row>
    <row r="21" spans="4:4" x14ac:dyDescent="0.35">
      <c r="D21" s="100"/>
    </row>
    <row r="22" spans="4:4" x14ac:dyDescent="0.35">
      <c r="D22" s="100"/>
    </row>
    <row r="24" spans="4:4" x14ac:dyDescent="0.35">
      <c r="D24" s="100"/>
    </row>
    <row r="25" spans="4:4" x14ac:dyDescent="0.35">
      <c r="D25" s="100"/>
    </row>
    <row r="27" spans="4:4" x14ac:dyDescent="0.35">
      <c r="D27" s="100"/>
    </row>
    <row r="28" spans="4:4" x14ac:dyDescent="0.35">
      <c r="D28" s="100"/>
    </row>
    <row r="30" spans="4:4" x14ac:dyDescent="0.35">
      <c r="D30" s="100"/>
    </row>
    <row r="31" spans="4:4" x14ac:dyDescent="0.35">
      <c r="D31" s="100"/>
    </row>
    <row r="32" spans="4:4" x14ac:dyDescent="0.35">
      <c r="D32" s="100"/>
    </row>
    <row r="33" spans="4:4" x14ac:dyDescent="0.35">
      <c r="D33" s="100"/>
    </row>
    <row r="34" spans="4:4" x14ac:dyDescent="0.35">
      <c r="D34" s="100"/>
    </row>
    <row r="35" spans="4:4" x14ac:dyDescent="0.35">
      <c r="D35" s="100"/>
    </row>
    <row r="36" spans="4:4" x14ac:dyDescent="0.35">
      <c r="D36" s="100"/>
    </row>
    <row r="37" spans="4:4" x14ac:dyDescent="0.35">
      <c r="D37" s="100"/>
    </row>
    <row r="39" spans="4:4" x14ac:dyDescent="0.35">
      <c r="D39" s="100"/>
    </row>
    <row r="40" spans="4:4" x14ac:dyDescent="0.35">
      <c r="D40" s="100"/>
    </row>
    <row r="41" spans="4:4" x14ac:dyDescent="0.35">
      <c r="D41" s="100"/>
    </row>
  </sheetData>
  <mergeCells count="1">
    <mergeCell ref="A1:J1"/>
  </mergeCells>
  <conditionalFormatting sqref="A1">
    <cfRule type="expression" dxfId="7" priority="4">
      <formula>ISNUMBER(SEARCH("MHEG", $H1))</formula>
    </cfRule>
  </conditionalFormatting>
  <conditionalFormatting sqref="B3:J10">
    <cfRule type="expression" dxfId="6" priority="1">
      <formula>$C3="No Collection Rules"</formula>
    </cfRule>
    <cfRule type="expression" dxfId="5" priority="2">
      <formula>ISERROR($C3)</formula>
    </cfRule>
    <cfRule type="expression" dxfId="4" priority="3">
      <formula>OR($C3=0, $C3="", ISNA($C3), $C3="NA")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D5857B9-A9AE-4017-A14E-13275816E46E}">
          <x14:formula1>
            <xm:f>'Data Validation'!$E$2:$E$18</xm:f>
          </x14:formula1>
          <xm:sqref>A3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67C8-2324-4E13-A78E-03287A6ADE1E}">
  <dimension ref="A1:I14"/>
  <sheetViews>
    <sheetView zoomScale="85" zoomScaleNormal="85" workbookViewId="0">
      <selection activeCell="D32" sqref="D32"/>
    </sheetView>
  </sheetViews>
  <sheetFormatPr defaultRowHeight="14.5" x14ac:dyDescent="0.35"/>
  <cols>
    <col min="2" max="2" width="18.1796875" customWidth="1"/>
    <col min="3" max="3" width="63.81640625" customWidth="1"/>
    <col min="4" max="4" width="25.81640625" customWidth="1"/>
    <col min="5" max="5" width="15.1796875" customWidth="1"/>
    <col min="6" max="6" width="32.453125" customWidth="1"/>
    <col min="7" max="7" width="36.453125" customWidth="1"/>
    <col min="8" max="8" width="33.54296875" customWidth="1"/>
    <col min="9" max="9" width="38.7265625" customWidth="1"/>
  </cols>
  <sheetData>
    <row r="1" spans="1:9" s="121" customFormat="1" ht="102" customHeight="1" x14ac:dyDescent="0.35">
      <c r="A1" s="139" t="s">
        <v>173</v>
      </c>
      <c r="B1" s="139"/>
      <c r="C1" s="139"/>
      <c r="D1" s="139"/>
      <c r="E1" s="139"/>
      <c r="F1" s="139"/>
      <c r="G1" s="139"/>
      <c r="H1" s="140"/>
      <c r="I1" s="89" t="s">
        <v>19</v>
      </c>
    </row>
    <row r="2" spans="1:9" x14ac:dyDescent="0.35">
      <c r="A2" s="114" t="s">
        <v>169</v>
      </c>
      <c r="B2" s="124" t="s">
        <v>170</v>
      </c>
      <c r="C2" t="s">
        <v>159</v>
      </c>
      <c r="D2" t="s">
        <v>31</v>
      </c>
      <c r="E2" t="s">
        <v>160</v>
      </c>
      <c r="F2" t="s">
        <v>161</v>
      </c>
      <c r="G2" t="s">
        <v>162</v>
      </c>
      <c r="H2" t="s">
        <v>163</v>
      </c>
    </row>
    <row r="3" spans="1:9" x14ac:dyDescent="0.35">
      <c r="A3" s="114">
        <v>2</v>
      </c>
      <c r="B3" s="114" t="s">
        <v>146</v>
      </c>
      <c r="C3" s="108" t="e">
        <f>_xlfn.XLOOKUP(A3,'Data Validation'!$I$3:$I$10,'Data Validation'!$H$3:$H$10)</f>
        <v>#N/A</v>
      </c>
      <c r="D3" t="s">
        <v>164</v>
      </c>
      <c r="E3">
        <v>0</v>
      </c>
      <c r="F3">
        <v>2</v>
      </c>
      <c r="G3" t="s">
        <v>165</v>
      </c>
      <c r="H3" t="s">
        <v>140</v>
      </c>
    </row>
    <row r="4" spans="1:9" x14ac:dyDescent="0.35">
      <c r="A4" s="114">
        <v>2</v>
      </c>
      <c r="B4" s="114" t="s">
        <v>146</v>
      </c>
      <c r="C4" s="108" t="e">
        <f>_xlfn.XLOOKUP(A4,'Data Validation'!$I$3:$I$10,'Data Validation'!$H$3:$H$10)</f>
        <v>#N/A</v>
      </c>
      <c r="D4" t="s">
        <v>164</v>
      </c>
      <c r="E4">
        <v>45</v>
      </c>
      <c r="F4">
        <v>6</v>
      </c>
      <c r="G4" t="s">
        <v>165</v>
      </c>
      <c r="H4" t="s">
        <v>140</v>
      </c>
    </row>
    <row r="5" spans="1:9" x14ac:dyDescent="0.35">
      <c r="A5" s="114">
        <v>4</v>
      </c>
      <c r="B5" s="114" t="s">
        <v>143</v>
      </c>
      <c r="C5" s="108" t="e">
        <f>_xlfn.XLOOKUP(A5,'Data Validation'!$I$3:$I$10,'Data Validation'!$H$3:$H$10)</f>
        <v>#N/A</v>
      </c>
      <c r="D5" t="s">
        <v>164</v>
      </c>
      <c r="E5">
        <v>0</v>
      </c>
      <c r="F5">
        <v>11</v>
      </c>
      <c r="G5" t="s">
        <v>165</v>
      </c>
      <c r="H5" t="s">
        <v>140</v>
      </c>
    </row>
    <row r="6" spans="1:9" x14ac:dyDescent="0.35">
      <c r="A6" s="114">
        <v>4</v>
      </c>
      <c r="B6" s="114" t="s">
        <v>143</v>
      </c>
      <c r="C6" s="108" t="e">
        <f>_xlfn.XLOOKUP(A6,'Data Validation'!$I$3:$I$10,'Data Validation'!$H$3:$H$10)</f>
        <v>#N/A</v>
      </c>
      <c r="D6" t="s">
        <v>164</v>
      </c>
      <c r="E6">
        <v>45</v>
      </c>
      <c r="F6">
        <v>12</v>
      </c>
      <c r="G6" t="s">
        <v>165</v>
      </c>
      <c r="H6" t="s">
        <v>140</v>
      </c>
    </row>
    <row r="7" spans="1:9" x14ac:dyDescent="0.35">
      <c r="A7" s="114">
        <v>17</v>
      </c>
      <c r="B7" s="114" t="s">
        <v>142</v>
      </c>
      <c r="C7" s="108" t="e">
        <f>_xlfn.XLOOKUP(A7,'Data Validation'!$I$3:$I$10,'Data Validation'!$H$3:$H$10)</f>
        <v>#N/A</v>
      </c>
      <c r="D7" t="s">
        <v>164</v>
      </c>
      <c r="E7">
        <v>0</v>
      </c>
      <c r="F7">
        <v>10</v>
      </c>
      <c r="G7" t="s">
        <v>165</v>
      </c>
      <c r="H7" t="s">
        <v>140</v>
      </c>
    </row>
    <row r="8" spans="1:9" x14ac:dyDescent="0.35">
      <c r="A8" s="114">
        <v>17</v>
      </c>
      <c r="B8" s="114" t="s">
        <v>142</v>
      </c>
      <c r="C8" s="108" t="e">
        <f>_xlfn.XLOOKUP(A8,'Data Validation'!$I$3:$I$10,'Data Validation'!$H$3:$H$10)</f>
        <v>#N/A</v>
      </c>
      <c r="D8" t="s">
        <v>164</v>
      </c>
      <c r="E8">
        <v>45</v>
      </c>
      <c r="F8">
        <v>13</v>
      </c>
      <c r="G8" t="s">
        <v>165</v>
      </c>
      <c r="H8" t="s">
        <v>140</v>
      </c>
    </row>
    <row r="9" spans="1:9" x14ac:dyDescent="0.35">
      <c r="A9" s="114">
        <v>36</v>
      </c>
      <c r="B9" s="114" t="s">
        <v>144</v>
      </c>
      <c r="C9" s="108" t="e">
        <f>_xlfn.XLOOKUP(A9,'Data Validation'!$I$3:$I$10,'Data Validation'!$H$3:$H$10)</f>
        <v>#N/A</v>
      </c>
      <c r="D9" t="s">
        <v>164</v>
      </c>
      <c r="E9">
        <v>0</v>
      </c>
      <c r="F9">
        <v>5</v>
      </c>
      <c r="G9" t="s">
        <v>165</v>
      </c>
      <c r="H9" t="s">
        <v>140</v>
      </c>
    </row>
    <row r="10" spans="1:9" x14ac:dyDescent="0.35">
      <c r="A10" s="114">
        <v>36</v>
      </c>
      <c r="B10" s="114" t="s">
        <v>144</v>
      </c>
      <c r="C10" s="108" t="e">
        <f>_xlfn.XLOOKUP(A10,'Data Validation'!$I$3:$I$10,'Data Validation'!$H$3:$H$10)</f>
        <v>#N/A</v>
      </c>
      <c r="D10" t="s">
        <v>164</v>
      </c>
      <c r="E10">
        <v>45</v>
      </c>
      <c r="F10">
        <v>9</v>
      </c>
      <c r="G10" t="s">
        <v>165</v>
      </c>
      <c r="H10" t="s">
        <v>140</v>
      </c>
    </row>
    <row r="11" spans="1:9" x14ac:dyDescent="0.35">
      <c r="A11" s="114">
        <v>38</v>
      </c>
      <c r="B11" s="114" t="s">
        <v>147</v>
      </c>
      <c r="C11" s="108" t="e">
        <f>_xlfn.XLOOKUP(A11,'Data Validation'!$I$3:$I$10,'Data Validation'!$H$3:$H$10)</f>
        <v>#N/A</v>
      </c>
      <c r="D11" t="s">
        <v>164</v>
      </c>
      <c r="E11">
        <v>0</v>
      </c>
      <c r="F11">
        <v>3</v>
      </c>
      <c r="G11" t="s">
        <v>165</v>
      </c>
      <c r="H11" t="s">
        <v>140</v>
      </c>
    </row>
    <row r="12" spans="1:9" x14ac:dyDescent="0.35">
      <c r="A12" s="114">
        <v>38</v>
      </c>
      <c r="B12" s="114" t="s">
        <v>147</v>
      </c>
      <c r="C12" s="108" t="e">
        <f>_xlfn.XLOOKUP(A12,'Data Validation'!$I$3:$I$10,'Data Validation'!$H$3:$H$10)</f>
        <v>#N/A</v>
      </c>
      <c r="D12" t="s">
        <v>164</v>
      </c>
      <c r="E12">
        <v>45</v>
      </c>
      <c r="F12">
        <v>7</v>
      </c>
      <c r="G12" t="s">
        <v>165</v>
      </c>
      <c r="H12" t="s">
        <v>140</v>
      </c>
    </row>
    <row r="13" spans="1:9" x14ac:dyDescent="0.35">
      <c r="A13" s="114">
        <v>53</v>
      </c>
      <c r="B13" s="114" t="s">
        <v>145</v>
      </c>
      <c r="C13" s="108" t="e">
        <f>_xlfn.XLOOKUP(A13,'Data Validation'!$I$3:$I$10,'Data Validation'!$H$3:$H$10)</f>
        <v>#N/A</v>
      </c>
      <c r="D13" t="s">
        <v>164</v>
      </c>
      <c r="E13">
        <v>0</v>
      </c>
      <c r="F13">
        <v>4</v>
      </c>
      <c r="G13" t="s">
        <v>165</v>
      </c>
      <c r="H13" t="s">
        <v>140</v>
      </c>
    </row>
    <row r="14" spans="1:9" x14ac:dyDescent="0.35">
      <c r="A14" s="114">
        <v>53</v>
      </c>
      <c r="B14" s="114" t="s">
        <v>145</v>
      </c>
      <c r="C14" s="108" t="e">
        <f>_xlfn.XLOOKUP(A14,'Data Validation'!$I$3:$I$10,'Data Validation'!$H$3:$H$10)</f>
        <v>#N/A</v>
      </c>
      <c r="D14" t="s">
        <v>164</v>
      </c>
      <c r="E14">
        <v>45</v>
      </c>
      <c r="F14">
        <v>8</v>
      </c>
      <c r="G14" t="s">
        <v>165</v>
      </c>
      <c r="H14" t="s">
        <v>140</v>
      </c>
    </row>
  </sheetData>
  <mergeCells count="1">
    <mergeCell ref="A1:H1"/>
  </mergeCells>
  <conditionalFormatting sqref="A1">
    <cfRule type="expression" dxfId="3" priority="3">
      <formula>ISNUMBER(SEARCH("MHEG", $G1))</formula>
    </cfRule>
  </conditionalFormatting>
  <conditionalFormatting sqref="C3:H14">
    <cfRule type="expression" dxfId="2" priority="1">
      <formula>OR($C3=0, $C3="", ISNA($C3), $C3="NA")</formula>
    </cfRule>
    <cfRule type="expression" dxfId="1" priority="2">
      <formula>ISERROR($C3)</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5DBB7331A47549AD1AF08EFA93BE12" ma:contentTypeVersion="18" ma:contentTypeDescription="Create a new document." ma:contentTypeScope="" ma:versionID="46eac82f3a2997d342b36147e2b7ee22">
  <xsd:schema xmlns:xsd="http://www.w3.org/2001/XMLSchema" xmlns:xs="http://www.w3.org/2001/XMLSchema" xmlns:p="http://schemas.microsoft.com/office/2006/metadata/properties" xmlns:ns2="c801c429-b8e8-42fa-90ee-2cac9dba9efa" xmlns:ns3="aee50f04-7053-420a-aae5-bed88c8780a7" targetNamespace="http://schemas.microsoft.com/office/2006/metadata/properties" ma:root="true" ma:fieldsID="b754568dfcb4e926d71f768e54cf0932" ns2:_="" ns3:_="">
    <xsd:import namespace="c801c429-b8e8-42fa-90ee-2cac9dba9efa"/>
    <xsd:import namespace="aee50f04-7053-420a-aae5-bed88c8780a7"/>
    <xsd:element name="properties">
      <xsd:complexType>
        <xsd:sequence>
          <xsd:element name="documentManagement">
            <xsd:complexType>
              <xsd:all>
                <xsd:element ref="ns2:Menu" minOccurs="0"/>
                <xsd:element ref="ns2:DocumentType" minOccurs="0"/>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1c429-b8e8-42fa-90ee-2cac9dba9efa" elementFormDefault="qualified">
    <xsd:import namespace="http://schemas.microsoft.com/office/2006/documentManagement/types"/>
    <xsd:import namespace="http://schemas.microsoft.com/office/infopath/2007/PartnerControls"/>
    <xsd:element name="Menu" ma:index="1" nillable="true" ma:displayName="Menu " ma:format="Dropdown" ma:internalName="Menu">
      <xsd:complexType>
        <xsd:complexContent>
          <xsd:extension base="dms:MultiChoice">
            <xsd:sequence>
              <xsd:element name="Value" maxOccurs="unbounded" minOccurs="0" nillable="true">
                <xsd:simpleType>
                  <xsd:restriction base="dms:Choice">
                    <xsd:enumeration value="Batchload, MIT"/>
                    <xsd:enumeration value="Collection Rules, Notifications, WorkQ"/>
                    <xsd:enumeration value="DMS Team"/>
                    <xsd:enumeration value="Documents/Data Types"/>
                    <xsd:enumeration value="Dropdown Codes"/>
                    <xsd:enumeration value="Financials/Accounting"/>
                    <xsd:enumeration value="IC Admin"/>
                    <xsd:enumeration value="Investor Connect Portal"/>
                    <xsd:enumeration value="MyMRI Client Portal"/>
                    <xsd:enumeration value="Occupancy"/>
                    <xsd:enumeration value="Onboarding/Internal Training"/>
                    <xsd:enumeration value="Other"/>
                    <xsd:enumeration value="Overviews/Dashboards"/>
                    <xsd:enumeration value="Parties"/>
                    <xsd:enumeration value="Product Development Team"/>
                    <xsd:enumeration value="Property/Investment"/>
                    <xsd:enumeration value="PS: Functional Consulting Team"/>
                    <xsd:enumeration value="PS: Tech Services Team"/>
                    <xsd:enumeration value="Queries/Notification Tools"/>
                    <xsd:enumeration value="Real Estate/LIHTC/Asset Mgmt"/>
                    <xsd:enumeration value="Reports"/>
                  </xsd:restriction>
                </xsd:simpleType>
              </xsd:element>
            </xsd:sequence>
          </xsd:extension>
        </xsd:complexContent>
      </xsd:complexType>
    </xsd:element>
    <xsd:element name="DocumentType" ma:index="2" nillable="true" ma:displayName="Document Type" ma:format="Dropdown" ma:internalName="DocumentType" ma:readOnly="false">
      <xsd:simpleType>
        <xsd:restriction base="dms:Choice">
          <xsd:enumeration value="Standard Operating Procedure"/>
          <xsd:enumeration value="Knowledge Article"/>
          <xsd:enumeration value="Demo"/>
          <xsd:enumeration value="Help Video"/>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65727e9-91e1-45b2-9fda-6c9332cc072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hidden="true"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e50f04-7053-420a-aae5-bed88c8780a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bb4575b-31fb-48dd-85b3-a938b59f6cd8}" ma:internalName="TaxCatchAll" ma:readOnly="false" ma:showField="CatchAllData" ma:web="aee50f04-7053-420a-aae5-bed88c8780a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01c429-b8e8-42fa-90ee-2cac9dba9efa">
      <Terms xmlns="http://schemas.microsoft.com/office/infopath/2007/PartnerControls"/>
    </lcf76f155ced4ddcb4097134ff3c332f>
    <DocumentType xmlns="c801c429-b8e8-42fa-90ee-2cac9dba9efa" xsi:nil="true"/>
    <Menu xmlns="c801c429-b8e8-42fa-90ee-2cac9dba9efa" xsi:nil="true"/>
    <TaxCatchAll xmlns="aee50f04-7053-420a-aae5-bed88c8780a7" xsi:nil="true"/>
  </documentManagement>
</p:properties>
</file>

<file path=customXml/itemProps1.xml><?xml version="1.0" encoding="utf-8"?>
<ds:datastoreItem xmlns:ds="http://schemas.openxmlformats.org/officeDocument/2006/customXml" ds:itemID="{C3F17834-3152-48DB-A2F1-59C99AD75AF0}"/>
</file>

<file path=customXml/itemProps2.xml><?xml version="1.0" encoding="utf-8"?>
<ds:datastoreItem xmlns:ds="http://schemas.openxmlformats.org/officeDocument/2006/customXml" ds:itemID="{13FB46B4-9653-4956-A5C0-7CE5C73BFE0B}"/>
</file>

<file path=customXml/itemProps3.xml><?xml version="1.0" encoding="utf-8"?>
<ds:datastoreItem xmlns:ds="http://schemas.openxmlformats.org/officeDocument/2006/customXml" ds:itemID="{E49B72D6-DB42-4B04-BBAE-D94E9BE911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GENERAL Instructions</vt:lpstr>
      <vt:lpstr>Fund Setup Instructions</vt:lpstr>
      <vt:lpstr>Fund</vt:lpstr>
      <vt:lpstr>Upper Tier Fund</vt:lpstr>
      <vt:lpstr>Fund - 5 (LOAD)</vt:lpstr>
      <vt:lpstr>PropParties -6 (LOAD)</vt:lpstr>
      <vt:lpstr>Owner - 7 (LOAD)</vt:lpstr>
      <vt:lpstr>Investors - 8 (LOAD)</vt:lpstr>
      <vt:lpstr>TXFinancial_IC - 9 (LOAD)</vt:lpstr>
      <vt:lpstr>Data Validation</vt:lpstr>
      <vt:lpstr>Event_Dates - 10 (LOAD)</vt:lpstr>
      <vt:lpstr>Collection Rules</vt:lpstr>
      <vt:lpstr>Collection_Rule - 12 (LOAD)</vt:lpstr>
      <vt:lpstr>Notification_Rule - 13 (LOAD)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Jairah Nepomuceno</dc:creator>
  <cp:lastModifiedBy>Jairah Nepomuceno</cp:lastModifiedBy>
  <dcterms:created xsi:type="dcterms:W3CDTF">2026-03-10T17:33:20Z</dcterms:created>
  <dcterms:modified xsi:type="dcterms:W3CDTF">2026-07-29T22:13:50Z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0x010100195DBB7331A47549AD1AF08EFA93BE12</vt:lpwstr>
  </property>
</Properties>
</file>